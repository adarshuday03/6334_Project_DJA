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darsh GATech Files\6334 Chen OR2\Project\6334_Project_DJA\dom_sol\"/>
    </mc:Choice>
  </mc:AlternateContent>
  <xr:revisionPtr revIDLastSave="0" documentId="13_ncr:1_{0CAD84FB-5D23-440C-B841-3E8735C26CCD}" xr6:coauthVersionLast="47" xr6:coauthVersionMax="47" xr10:uidLastSave="{00000000-0000-0000-0000-000000000000}"/>
  <bookViews>
    <workbookView xWindow="-120" yWindow="-120" windowWidth="29040" windowHeight="15720" activeTab="3" xr2:uid="{4D8A6D22-1F7C-634E-A276-4032A734E7D0}"/>
  </bookViews>
  <sheets>
    <sheet name="1and2" sheetId="1" r:id="rId1"/>
    <sheet name="3" sheetId="2" r:id="rId2"/>
    <sheet name="4" sheetId="3" r:id="rId3"/>
    <sheet name="5" sheetId="4" r:id="rId4"/>
    <sheet name="Sheet2" sheetId="8" r:id="rId5"/>
    <sheet name="6" sheetId="5" r:id="rId6"/>
    <sheet name="7" sheetId="6" r:id="rId7"/>
    <sheet name="8" sheetId="7" r:id="rId8"/>
    <sheet name="iterations 8" sheetId="9" r:id="rId9"/>
    <sheet name="iterations 8 (SH)" sheetId="11" r:id="rId10"/>
    <sheet name="iterations 8 (SL)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4" l="1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" i="4"/>
  <c r="X34" i="12"/>
  <c r="G80" i="7"/>
  <c r="Y32" i="12"/>
  <c r="Y31" i="12"/>
  <c r="X30" i="12"/>
  <c r="Y27" i="12"/>
  <c r="X27" i="12"/>
  <c r="Y26" i="12"/>
  <c r="X26" i="12"/>
  <c r="Y25" i="12"/>
  <c r="X25" i="12"/>
  <c r="Y24" i="12"/>
  <c r="X24" i="12"/>
  <c r="W21" i="12"/>
  <c r="W16" i="12"/>
  <c r="W18" i="12"/>
  <c r="W13" i="12"/>
  <c r="T7" i="12"/>
  <c r="T5" i="12"/>
  <c r="T3" i="12"/>
  <c r="P3" i="12"/>
  <c r="P4" i="11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C8" i="12"/>
  <c r="A8" i="12"/>
  <c r="A10" i="12" s="1"/>
  <c r="A12" i="12" s="1"/>
  <c r="A14" i="12" s="1"/>
  <c r="A16" i="12" s="1"/>
  <c r="A18" i="12" s="1"/>
  <c r="A20" i="12" s="1"/>
  <c r="A22" i="12" s="1"/>
  <c r="A24" i="12" s="1"/>
  <c r="A26" i="12" s="1"/>
  <c r="A28" i="12" s="1"/>
  <c r="A30" i="12" s="1"/>
  <c r="A32" i="12" s="1"/>
  <c r="A34" i="12" s="1"/>
  <c r="A36" i="12" s="1"/>
  <c r="A38" i="12" s="1"/>
  <c r="A40" i="12" s="1"/>
  <c r="A42" i="12" s="1"/>
  <c r="A44" i="12" s="1"/>
  <c r="A46" i="12" s="1"/>
  <c r="A48" i="12" s="1"/>
  <c r="A50" i="12" s="1"/>
  <c r="A52" i="12" s="1"/>
  <c r="A54" i="12" s="1"/>
  <c r="Q7" i="12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L7" i="12"/>
  <c r="Q6" i="12"/>
  <c r="L6" i="12"/>
  <c r="C6" i="12"/>
  <c r="C7" i="12" s="1"/>
  <c r="A6" i="12"/>
  <c r="L5" i="12"/>
  <c r="J5" i="12"/>
  <c r="C5" i="12"/>
  <c r="B5" i="12"/>
  <c r="F5" i="12" s="1"/>
  <c r="O4" i="12"/>
  <c r="L4" i="12"/>
  <c r="J4" i="12"/>
  <c r="I4" i="12"/>
  <c r="F4" i="12"/>
  <c r="H4" i="12" s="1"/>
  <c r="Q25" i="11"/>
  <c r="Q26" i="11"/>
  <c r="Q27" i="11" s="1"/>
  <c r="Q28" i="11" s="1"/>
  <c r="Q29" i="11" s="1"/>
  <c r="Q30" i="11" s="1"/>
  <c r="Q7" i="11"/>
  <c r="Q8" i="11" s="1"/>
  <c r="Q9" i="11" s="1"/>
  <c r="Q10" i="11" s="1"/>
  <c r="Q11" i="11" s="1"/>
  <c r="Q12" i="11" s="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Q6" i="11"/>
  <c r="A10" i="11"/>
  <c r="A12" i="11" s="1"/>
  <c r="A14" i="11" s="1"/>
  <c r="A16" i="11" s="1"/>
  <c r="A18" i="11" s="1"/>
  <c r="A20" i="11" s="1"/>
  <c r="A22" i="11" s="1"/>
  <c r="A24" i="11" s="1"/>
  <c r="A26" i="11" s="1"/>
  <c r="A28" i="11" s="1"/>
  <c r="A30" i="11" s="1"/>
  <c r="A32" i="11" s="1"/>
  <c r="A34" i="11" s="1"/>
  <c r="A36" i="11" s="1"/>
  <c r="A38" i="11" s="1"/>
  <c r="A40" i="11" s="1"/>
  <c r="A42" i="11" s="1"/>
  <c r="A44" i="11" s="1"/>
  <c r="A46" i="11" s="1"/>
  <c r="A48" i="11" s="1"/>
  <c r="A50" i="11" s="1"/>
  <c r="A52" i="11" s="1"/>
  <c r="A54" i="11" s="1"/>
  <c r="A8" i="11"/>
  <c r="A6" i="11"/>
  <c r="L55" i="11"/>
  <c r="L54" i="11"/>
  <c r="C54" i="11"/>
  <c r="C55" i="11" s="1"/>
  <c r="L53" i="11"/>
  <c r="L52" i="11"/>
  <c r="C52" i="11"/>
  <c r="C53" i="11" s="1"/>
  <c r="L51" i="11"/>
  <c r="L50" i="11"/>
  <c r="C50" i="11"/>
  <c r="C51" i="11" s="1"/>
  <c r="L49" i="11"/>
  <c r="L48" i="11"/>
  <c r="J48" i="11"/>
  <c r="C48" i="11"/>
  <c r="C49" i="11" s="1"/>
  <c r="L47" i="11"/>
  <c r="L46" i="11"/>
  <c r="C46" i="11"/>
  <c r="C47" i="11" s="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C10" i="11"/>
  <c r="J10" i="11" s="1"/>
  <c r="L9" i="11"/>
  <c r="L8" i="11"/>
  <c r="J8" i="11"/>
  <c r="C8" i="11"/>
  <c r="C9" i="11" s="1"/>
  <c r="J9" i="11" s="1"/>
  <c r="L7" i="11"/>
  <c r="C7" i="11"/>
  <c r="J7" i="11" s="1"/>
  <c r="L6" i="11"/>
  <c r="J6" i="11"/>
  <c r="C6" i="11"/>
  <c r="L5" i="11"/>
  <c r="C5" i="11"/>
  <c r="B5" i="11"/>
  <c r="I5" i="11" s="1"/>
  <c r="O4" i="11"/>
  <c r="L4" i="11"/>
  <c r="J4" i="11"/>
  <c r="I4" i="11"/>
  <c r="F4" i="11"/>
  <c r="H4" i="11" s="1"/>
  <c r="N4" i="9"/>
  <c r="O4" i="9"/>
  <c r="Q7" i="9"/>
  <c r="F4" i="9"/>
  <c r="G4" i="9" s="1"/>
  <c r="K4" i="9" s="1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C6" i="9"/>
  <c r="C7" i="9" s="1"/>
  <c r="J7" i="9" s="1"/>
  <c r="L7" i="9"/>
  <c r="L6" i="9"/>
  <c r="L5" i="9"/>
  <c r="L4" i="9"/>
  <c r="I4" i="9"/>
  <c r="C5" i="9"/>
  <c r="J5" i="9" s="1"/>
  <c r="B5" i="9"/>
  <c r="I5" i="9" s="1"/>
  <c r="J4" i="9"/>
  <c r="I33" i="7"/>
  <c r="V10" i="6"/>
  <c r="U10" i="6"/>
  <c r="W10" i="6"/>
  <c r="K80" i="7"/>
  <c r="G74" i="7"/>
  <c r="G70" i="7"/>
  <c r="K55" i="7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72" i="5"/>
  <c r="R71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U54" i="5"/>
  <c r="U53" i="5"/>
  <c r="U52" i="5"/>
  <c r="P45" i="5"/>
  <c r="P46" i="5"/>
  <c r="R46" i="5" s="1"/>
  <c r="P47" i="5"/>
  <c r="P48" i="5"/>
  <c r="P49" i="5"/>
  <c r="P50" i="5"/>
  <c r="R50" i="5" s="1"/>
  <c r="P51" i="5"/>
  <c r="R51" i="5" s="1"/>
  <c r="P52" i="5"/>
  <c r="R52" i="5" s="1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44" i="5"/>
  <c r="R44" i="5" s="1"/>
  <c r="R49" i="5"/>
  <c r="R48" i="5"/>
  <c r="R47" i="5"/>
  <c r="R45" i="5"/>
  <c r="N45" i="5"/>
  <c r="O45" i="5" s="1"/>
  <c r="N46" i="5"/>
  <c r="O46" i="5"/>
  <c r="N47" i="5"/>
  <c r="O47" i="5" s="1"/>
  <c r="N48" i="5"/>
  <c r="O48" i="5"/>
  <c r="N49" i="5"/>
  <c r="O49" i="5"/>
  <c r="N50" i="5"/>
  <c r="O50" i="5"/>
  <c r="N51" i="5"/>
  <c r="O51" i="5"/>
  <c r="N52" i="5"/>
  <c r="O52" i="5"/>
  <c r="N53" i="5"/>
  <c r="O53" i="5"/>
  <c r="N54" i="5"/>
  <c r="O54" i="5"/>
  <c r="N55" i="5"/>
  <c r="O55" i="5"/>
  <c r="N56" i="5"/>
  <c r="O56" i="5"/>
  <c r="N57" i="5"/>
  <c r="O57" i="5"/>
  <c r="N58" i="5"/>
  <c r="O58" i="5"/>
  <c r="N59" i="5"/>
  <c r="O59" i="5"/>
  <c r="N60" i="5"/>
  <c r="O60" i="5"/>
  <c r="N61" i="5"/>
  <c r="O61" i="5"/>
  <c r="N62" i="5"/>
  <c r="O62" i="5"/>
  <c r="N63" i="5"/>
  <c r="O63" i="5"/>
  <c r="N64" i="5"/>
  <c r="O64" i="5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N77" i="5"/>
  <c r="O77" i="5"/>
  <c r="N78" i="5"/>
  <c r="O78" i="5"/>
  <c r="N79" i="5"/>
  <c r="O79" i="5"/>
  <c r="N80" i="5"/>
  <c r="O80" i="5"/>
  <c r="N81" i="5"/>
  <c r="O81" i="5"/>
  <c r="N82" i="5"/>
  <c r="O82" i="5"/>
  <c r="N83" i="5"/>
  <c r="O83" i="5"/>
  <c r="N84" i="5"/>
  <c r="O84" i="5"/>
  <c r="N85" i="5"/>
  <c r="O85" i="5"/>
  <c r="N86" i="5"/>
  <c r="O86" i="5"/>
  <c r="N87" i="5"/>
  <c r="O87" i="5"/>
  <c r="N88" i="5"/>
  <c r="O88" i="5"/>
  <c r="N89" i="5"/>
  <c r="O89" i="5"/>
  <c r="N90" i="5"/>
  <c r="O90" i="5"/>
  <c r="N91" i="5"/>
  <c r="O91" i="5"/>
  <c r="N92" i="5"/>
  <c r="O92" i="5"/>
  <c r="O44" i="5"/>
  <c r="N44" i="5"/>
  <c r="X44" i="5"/>
  <c r="W60" i="5"/>
  <c r="W84" i="5"/>
  <c r="W100" i="5"/>
  <c r="W124" i="5"/>
  <c r="W140" i="5"/>
  <c r="W148" i="5"/>
  <c r="W164" i="5"/>
  <c r="W169" i="5"/>
  <c r="W188" i="5"/>
  <c r="W193" i="5"/>
  <c r="W204" i="5"/>
  <c r="W212" i="5"/>
  <c r="W228" i="5"/>
  <c r="W233" i="5"/>
  <c r="W252" i="5"/>
  <c r="W257" i="5"/>
  <c r="W268" i="5"/>
  <c r="W276" i="5"/>
  <c r="W292" i="5"/>
  <c r="W297" i="5"/>
  <c r="W316" i="5"/>
  <c r="W321" i="5"/>
  <c r="W340" i="5"/>
  <c r="J30" i="1"/>
  <c r="Y45" i="5"/>
  <c r="W45" i="5" s="1"/>
  <c r="Y46" i="5"/>
  <c r="W46" i="5" s="1"/>
  <c r="Y47" i="5"/>
  <c r="W47" i="5" s="1"/>
  <c r="Y48" i="5"/>
  <c r="W48" i="5" s="1"/>
  <c r="Y49" i="5"/>
  <c r="W49" i="5" s="1"/>
  <c r="Y50" i="5"/>
  <c r="W50" i="5" s="1"/>
  <c r="Y51" i="5"/>
  <c r="W51" i="5" s="1"/>
  <c r="Y52" i="5"/>
  <c r="W52" i="5" s="1"/>
  <c r="Y53" i="5"/>
  <c r="W53" i="5" s="1"/>
  <c r="Y54" i="5"/>
  <c r="W54" i="5" s="1"/>
  <c r="Y55" i="5"/>
  <c r="W55" i="5" s="1"/>
  <c r="Y56" i="5"/>
  <c r="W56" i="5" s="1"/>
  <c r="Y57" i="5"/>
  <c r="W57" i="5" s="1"/>
  <c r="Y58" i="5"/>
  <c r="W58" i="5" s="1"/>
  <c r="Y59" i="5"/>
  <c r="W59" i="5" s="1"/>
  <c r="Y60" i="5"/>
  <c r="Y61" i="5"/>
  <c r="W61" i="5" s="1"/>
  <c r="Y62" i="5"/>
  <c r="W62" i="5" s="1"/>
  <c r="Y63" i="5"/>
  <c r="W63" i="5" s="1"/>
  <c r="Y64" i="5"/>
  <c r="W64" i="5" s="1"/>
  <c r="Y65" i="5"/>
  <c r="W65" i="5" s="1"/>
  <c r="Y66" i="5"/>
  <c r="W66" i="5" s="1"/>
  <c r="Y67" i="5"/>
  <c r="W67" i="5" s="1"/>
  <c r="Y68" i="5"/>
  <c r="W68" i="5" s="1"/>
  <c r="Y69" i="5"/>
  <c r="W69" i="5" s="1"/>
  <c r="Y70" i="5"/>
  <c r="W70" i="5" s="1"/>
  <c r="Y71" i="5"/>
  <c r="W71" i="5" s="1"/>
  <c r="Y72" i="5"/>
  <c r="W72" i="5" s="1"/>
  <c r="Y73" i="5"/>
  <c r="W73" i="5" s="1"/>
  <c r="Y74" i="5"/>
  <c r="W74" i="5" s="1"/>
  <c r="Y75" i="5"/>
  <c r="W75" i="5" s="1"/>
  <c r="Y76" i="5"/>
  <c r="W76" i="5" s="1"/>
  <c r="Y77" i="5"/>
  <c r="W77" i="5" s="1"/>
  <c r="Y78" i="5"/>
  <c r="W78" i="5" s="1"/>
  <c r="Y79" i="5"/>
  <c r="W79" i="5" s="1"/>
  <c r="Y80" i="5"/>
  <c r="W80" i="5" s="1"/>
  <c r="Y81" i="5"/>
  <c r="W81" i="5" s="1"/>
  <c r="Y82" i="5"/>
  <c r="W82" i="5" s="1"/>
  <c r="Y83" i="5"/>
  <c r="W83" i="5" s="1"/>
  <c r="Y84" i="5"/>
  <c r="Y85" i="5"/>
  <c r="W85" i="5" s="1"/>
  <c r="Y86" i="5"/>
  <c r="W86" i="5" s="1"/>
  <c r="Y87" i="5"/>
  <c r="W87" i="5" s="1"/>
  <c r="Y88" i="5"/>
  <c r="W88" i="5" s="1"/>
  <c r="Y89" i="5"/>
  <c r="W89" i="5" s="1"/>
  <c r="Y90" i="5"/>
  <c r="W90" i="5" s="1"/>
  <c r="Y91" i="5"/>
  <c r="W91" i="5" s="1"/>
  <c r="Y92" i="5"/>
  <c r="W92" i="5" s="1"/>
  <c r="Y93" i="5"/>
  <c r="W93" i="5" s="1"/>
  <c r="Y94" i="5"/>
  <c r="W94" i="5" s="1"/>
  <c r="Y95" i="5"/>
  <c r="W95" i="5" s="1"/>
  <c r="Y96" i="5"/>
  <c r="W96" i="5" s="1"/>
  <c r="Y97" i="5"/>
  <c r="W97" i="5" s="1"/>
  <c r="Y98" i="5"/>
  <c r="W98" i="5" s="1"/>
  <c r="Y99" i="5"/>
  <c r="W99" i="5" s="1"/>
  <c r="Y100" i="5"/>
  <c r="Y101" i="5"/>
  <c r="W101" i="5" s="1"/>
  <c r="Y102" i="5"/>
  <c r="W102" i="5" s="1"/>
  <c r="Y103" i="5"/>
  <c r="W103" i="5" s="1"/>
  <c r="Y104" i="5"/>
  <c r="W104" i="5" s="1"/>
  <c r="Y105" i="5"/>
  <c r="W105" i="5" s="1"/>
  <c r="Y106" i="5"/>
  <c r="W106" i="5" s="1"/>
  <c r="Y107" i="5"/>
  <c r="W107" i="5" s="1"/>
  <c r="Y108" i="5"/>
  <c r="W108" i="5" s="1"/>
  <c r="Y109" i="5"/>
  <c r="W109" i="5" s="1"/>
  <c r="Y110" i="5"/>
  <c r="W110" i="5" s="1"/>
  <c r="Y111" i="5"/>
  <c r="W111" i="5" s="1"/>
  <c r="Y112" i="5"/>
  <c r="W112" i="5" s="1"/>
  <c r="Y113" i="5"/>
  <c r="W113" i="5" s="1"/>
  <c r="Y114" i="5"/>
  <c r="W114" i="5" s="1"/>
  <c r="Y115" i="5"/>
  <c r="W115" i="5" s="1"/>
  <c r="Y116" i="5"/>
  <c r="W116" i="5" s="1"/>
  <c r="Y117" i="5"/>
  <c r="W117" i="5" s="1"/>
  <c r="Y118" i="5"/>
  <c r="W118" i="5" s="1"/>
  <c r="Y119" i="5"/>
  <c r="W119" i="5" s="1"/>
  <c r="Y120" i="5"/>
  <c r="W120" i="5" s="1"/>
  <c r="Y121" i="5"/>
  <c r="W121" i="5" s="1"/>
  <c r="Y122" i="5"/>
  <c r="W122" i="5" s="1"/>
  <c r="Y123" i="5"/>
  <c r="W123" i="5" s="1"/>
  <c r="Y124" i="5"/>
  <c r="Y125" i="5"/>
  <c r="W125" i="5" s="1"/>
  <c r="Y126" i="5"/>
  <c r="W126" i="5" s="1"/>
  <c r="Y127" i="5"/>
  <c r="W127" i="5" s="1"/>
  <c r="Y128" i="5"/>
  <c r="W128" i="5" s="1"/>
  <c r="Y129" i="5"/>
  <c r="W129" i="5" s="1"/>
  <c r="Y130" i="5"/>
  <c r="W130" i="5" s="1"/>
  <c r="Y131" i="5"/>
  <c r="W131" i="5" s="1"/>
  <c r="Y132" i="5"/>
  <c r="W132" i="5" s="1"/>
  <c r="Y133" i="5"/>
  <c r="W133" i="5" s="1"/>
  <c r="Y134" i="5"/>
  <c r="W134" i="5" s="1"/>
  <c r="Y135" i="5"/>
  <c r="W135" i="5" s="1"/>
  <c r="Y136" i="5"/>
  <c r="W136" i="5" s="1"/>
  <c r="Y137" i="5"/>
  <c r="W137" i="5" s="1"/>
  <c r="Y138" i="5"/>
  <c r="W138" i="5" s="1"/>
  <c r="Y139" i="5"/>
  <c r="W139" i="5" s="1"/>
  <c r="Y140" i="5"/>
  <c r="Y141" i="5"/>
  <c r="W141" i="5" s="1"/>
  <c r="Y142" i="5"/>
  <c r="W142" i="5" s="1"/>
  <c r="Y143" i="5"/>
  <c r="W143" i="5" s="1"/>
  <c r="Y144" i="5"/>
  <c r="W144" i="5" s="1"/>
  <c r="Y145" i="5"/>
  <c r="W145" i="5" s="1"/>
  <c r="Y146" i="5"/>
  <c r="W146" i="5" s="1"/>
  <c r="Y147" i="5"/>
  <c r="W147" i="5" s="1"/>
  <c r="Y148" i="5"/>
  <c r="Y149" i="5"/>
  <c r="W149" i="5" s="1"/>
  <c r="Y150" i="5"/>
  <c r="W150" i="5" s="1"/>
  <c r="Y151" i="5"/>
  <c r="W151" i="5" s="1"/>
  <c r="Y152" i="5"/>
  <c r="W152" i="5" s="1"/>
  <c r="Y153" i="5"/>
  <c r="W153" i="5" s="1"/>
  <c r="Y154" i="5"/>
  <c r="W154" i="5" s="1"/>
  <c r="Y155" i="5"/>
  <c r="W155" i="5" s="1"/>
  <c r="Y156" i="5"/>
  <c r="W156" i="5" s="1"/>
  <c r="Y157" i="5"/>
  <c r="W157" i="5" s="1"/>
  <c r="Y158" i="5"/>
  <c r="W158" i="5" s="1"/>
  <c r="Y159" i="5"/>
  <c r="W159" i="5" s="1"/>
  <c r="Y160" i="5"/>
  <c r="W160" i="5" s="1"/>
  <c r="Y161" i="5"/>
  <c r="W161" i="5" s="1"/>
  <c r="Y162" i="5"/>
  <c r="W162" i="5" s="1"/>
  <c r="Y163" i="5"/>
  <c r="W163" i="5" s="1"/>
  <c r="Y164" i="5"/>
  <c r="Y165" i="5"/>
  <c r="W165" i="5" s="1"/>
  <c r="Y166" i="5"/>
  <c r="W166" i="5" s="1"/>
  <c r="Y167" i="5"/>
  <c r="W167" i="5" s="1"/>
  <c r="Y168" i="5"/>
  <c r="W168" i="5" s="1"/>
  <c r="Y169" i="5"/>
  <c r="Y170" i="5"/>
  <c r="W170" i="5" s="1"/>
  <c r="Y171" i="5"/>
  <c r="W171" i="5" s="1"/>
  <c r="Y172" i="5"/>
  <c r="W172" i="5" s="1"/>
  <c r="Y173" i="5"/>
  <c r="W173" i="5" s="1"/>
  <c r="Y174" i="5"/>
  <c r="W174" i="5" s="1"/>
  <c r="Y175" i="5"/>
  <c r="W175" i="5" s="1"/>
  <c r="Y176" i="5"/>
  <c r="W176" i="5" s="1"/>
  <c r="Y177" i="5"/>
  <c r="W177" i="5" s="1"/>
  <c r="Y178" i="5"/>
  <c r="W178" i="5" s="1"/>
  <c r="Y179" i="5"/>
  <c r="W179" i="5" s="1"/>
  <c r="Y180" i="5"/>
  <c r="W180" i="5" s="1"/>
  <c r="Y181" i="5"/>
  <c r="W181" i="5" s="1"/>
  <c r="Y182" i="5"/>
  <c r="W182" i="5" s="1"/>
  <c r="Y183" i="5"/>
  <c r="W183" i="5" s="1"/>
  <c r="Y184" i="5"/>
  <c r="W184" i="5" s="1"/>
  <c r="Y185" i="5"/>
  <c r="W185" i="5" s="1"/>
  <c r="Y186" i="5"/>
  <c r="W186" i="5" s="1"/>
  <c r="Y187" i="5"/>
  <c r="W187" i="5" s="1"/>
  <c r="Y188" i="5"/>
  <c r="Y189" i="5"/>
  <c r="W189" i="5" s="1"/>
  <c r="Y190" i="5"/>
  <c r="W190" i="5" s="1"/>
  <c r="Y191" i="5"/>
  <c r="W191" i="5" s="1"/>
  <c r="Y192" i="5"/>
  <c r="W192" i="5" s="1"/>
  <c r="Y193" i="5"/>
  <c r="Y194" i="5"/>
  <c r="W194" i="5" s="1"/>
  <c r="Y195" i="5"/>
  <c r="W195" i="5" s="1"/>
  <c r="Y196" i="5"/>
  <c r="W196" i="5" s="1"/>
  <c r="Y197" i="5"/>
  <c r="W197" i="5" s="1"/>
  <c r="Y198" i="5"/>
  <c r="W198" i="5" s="1"/>
  <c r="Y199" i="5"/>
  <c r="W199" i="5" s="1"/>
  <c r="Y200" i="5"/>
  <c r="W200" i="5" s="1"/>
  <c r="Y201" i="5"/>
  <c r="W201" i="5" s="1"/>
  <c r="Y202" i="5"/>
  <c r="W202" i="5" s="1"/>
  <c r="Y203" i="5"/>
  <c r="W203" i="5" s="1"/>
  <c r="Y204" i="5"/>
  <c r="Y205" i="5"/>
  <c r="W205" i="5" s="1"/>
  <c r="Y206" i="5"/>
  <c r="W206" i="5" s="1"/>
  <c r="Y207" i="5"/>
  <c r="W207" i="5" s="1"/>
  <c r="Y208" i="5"/>
  <c r="W208" i="5" s="1"/>
  <c r="Y209" i="5"/>
  <c r="W209" i="5" s="1"/>
  <c r="Y210" i="5"/>
  <c r="W210" i="5" s="1"/>
  <c r="Y211" i="5"/>
  <c r="W211" i="5" s="1"/>
  <c r="Y212" i="5"/>
  <c r="Y213" i="5"/>
  <c r="W213" i="5" s="1"/>
  <c r="Y214" i="5"/>
  <c r="W214" i="5" s="1"/>
  <c r="Y215" i="5"/>
  <c r="W215" i="5" s="1"/>
  <c r="Y216" i="5"/>
  <c r="W216" i="5" s="1"/>
  <c r="Y217" i="5"/>
  <c r="W217" i="5" s="1"/>
  <c r="Y218" i="5"/>
  <c r="W218" i="5" s="1"/>
  <c r="Y219" i="5"/>
  <c r="W219" i="5" s="1"/>
  <c r="Y220" i="5"/>
  <c r="W220" i="5" s="1"/>
  <c r="Y221" i="5"/>
  <c r="W221" i="5" s="1"/>
  <c r="Y222" i="5"/>
  <c r="W222" i="5" s="1"/>
  <c r="Y223" i="5"/>
  <c r="W223" i="5" s="1"/>
  <c r="Y224" i="5"/>
  <c r="W224" i="5" s="1"/>
  <c r="Y225" i="5"/>
  <c r="W225" i="5" s="1"/>
  <c r="Y226" i="5"/>
  <c r="W226" i="5" s="1"/>
  <c r="Y227" i="5"/>
  <c r="W227" i="5" s="1"/>
  <c r="Y228" i="5"/>
  <c r="Y229" i="5"/>
  <c r="W229" i="5" s="1"/>
  <c r="Y230" i="5"/>
  <c r="W230" i="5" s="1"/>
  <c r="Y231" i="5"/>
  <c r="W231" i="5" s="1"/>
  <c r="Y232" i="5"/>
  <c r="W232" i="5" s="1"/>
  <c r="Y233" i="5"/>
  <c r="Y234" i="5"/>
  <c r="W234" i="5" s="1"/>
  <c r="Y235" i="5"/>
  <c r="W235" i="5" s="1"/>
  <c r="Y236" i="5"/>
  <c r="W236" i="5" s="1"/>
  <c r="Y237" i="5"/>
  <c r="W237" i="5" s="1"/>
  <c r="Y238" i="5"/>
  <c r="W238" i="5" s="1"/>
  <c r="Y239" i="5"/>
  <c r="W239" i="5" s="1"/>
  <c r="Y240" i="5"/>
  <c r="W240" i="5" s="1"/>
  <c r="Y241" i="5"/>
  <c r="W241" i="5" s="1"/>
  <c r="Y242" i="5"/>
  <c r="W242" i="5" s="1"/>
  <c r="Y243" i="5"/>
  <c r="W243" i="5" s="1"/>
  <c r="Y244" i="5"/>
  <c r="W244" i="5" s="1"/>
  <c r="Y245" i="5"/>
  <c r="W245" i="5" s="1"/>
  <c r="Y246" i="5"/>
  <c r="W246" i="5" s="1"/>
  <c r="Y247" i="5"/>
  <c r="W247" i="5" s="1"/>
  <c r="Y248" i="5"/>
  <c r="W248" i="5" s="1"/>
  <c r="Y249" i="5"/>
  <c r="W249" i="5" s="1"/>
  <c r="Y250" i="5"/>
  <c r="W250" i="5" s="1"/>
  <c r="Y251" i="5"/>
  <c r="W251" i="5" s="1"/>
  <c r="Y252" i="5"/>
  <c r="Y253" i="5"/>
  <c r="W253" i="5" s="1"/>
  <c r="Y254" i="5"/>
  <c r="W254" i="5" s="1"/>
  <c r="Y255" i="5"/>
  <c r="W255" i="5" s="1"/>
  <c r="Y256" i="5"/>
  <c r="W256" i="5" s="1"/>
  <c r="Y257" i="5"/>
  <c r="Y258" i="5"/>
  <c r="W258" i="5" s="1"/>
  <c r="Y259" i="5"/>
  <c r="W259" i="5" s="1"/>
  <c r="Y260" i="5"/>
  <c r="W260" i="5" s="1"/>
  <c r="Y261" i="5"/>
  <c r="W261" i="5" s="1"/>
  <c r="Y262" i="5"/>
  <c r="W262" i="5" s="1"/>
  <c r="Y263" i="5"/>
  <c r="W263" i="5" s="1"/>
  <c r="Y264" i="5"/>
  <c r="W264" i="5" s="1"/>
  <c r="Y265" i="5"/>
  <c r="W265" i="5" s="1"/>
  <c r="Y266" i="5"/>
  <c r="W266" i="5" s="1"/>
  <c r="Y267" i="5"/>
  <c r="W267" i="5" s="1"/>
  <c r="Y268" i="5"/>
  <c r="Y269" i="5"/>
  <c r="W269" i="5" s="1"/>
  <c r="Y270" i="5"/>
  <c r="W270" i="5" s="1"/>
  <c r="Y271" i="5"/>
  <c r="W271" i="5" s="1"/>
  <c r="Y272" i="5"/>
  <c r="W272" i="5" s="1"/>
  <c r="Y273" i="5"/>
  <c r="W273" i="5" s="1"/>
  <c r="Y274" i="5"/>
  <c r="W274" i="5" s="1"/>
  <c r="Y275" i="5"/>
  <c r="W275" i="5" s="1"/>
  <c r="Y276" i="5"/>
  <c r="Y277" i="5"/>
  <c r="W277" i="5" s="1"/>
  <c r="Y278" i="5"/>
  <c r="W278" i="5" s="1"/>
  <c r="Y279" i="5"/>
  <c r="W279" i="5" s="1"/>
  <c r="Y280" i="5"/>
  <c r="W280" i="5" s="1"/>
  <c r="Y281" i="5"/>
  <c r="W281" i="5" s="1"/>
  <c r="Y282" i="5"/>
  <c r="W282" i="5" s="1"/>
  <c r="Y283" i="5"/>
  <c r="W283" i="5" s="1"/>
  <c r="Y284" i="5"/>
  <c r="W284" i="5" s="1"/>
  <c r="Y285" i="5"/>
  <c r="W285" i="5" s="1"/>
  <c r="Y286" i="5"/>
  <c r="W286" i="5" s="1"/>
  <c r="Y287" i="5"/>
  <c r="W287" i="5" s="1"/>
  <c r="Y288" i="5"/>
  <c r="W288" i="5" s="1"/>
  <c r="Y289" i="5"/>
  <c r="W289" i="5" s="1"/>
  <c r="Y290" i="5"/>
  <c r="W290" i="5" s="1"/>
  <c r="Y291" i="5"/>
  <c r="W291" i="5" s="1"/>
  <c r="Y292" i="5"/>
  <c r="Y293" i="5"/>
  <c r="W293" i="5" s="1"/>
  <c r="Y294" i="5"/>
  <c r="W294" i="5" s="1"/>
  <c r="Y295" i="5"/>
  <c r="W295" i="5" s="1"/>
  <c r="Y296" i="5"/>
  <c r="W296" i="5" s="1"/>
  <c r="Y297" i="5"/>
  <c r="Y298" i="5"/>
  <c r="W298" i="5" s="1"/>
  <c r="Y299" i="5"/>
  <c r="W299" i="5" s="1"/>
  <c r="Y300" i="5"/>
  <c r="W300" i="5" s="1"/>
  <c r="Y301" i="5"/>
  <c r="W301" i="5" s="1"/>
  <c r="Y302" i="5"/>
  <c r="W302" i="5" s="1"/>
  <c r="Y303" i="5"/>
  <c r="W303" i="5" s="1"/>
  <c r="Y304" i="5"/>
  <c r="W304" i="5" s="1"/>
  <c r="Y305" i="5"/>
  <c r="W305" i="5" s="1"/>
  <c r="Y306" i="5"/>
  <c r="W306" i="5" s="1"/>
  <c r="Y307" i="5"/>
  <c r="W307" i="5" s="1"/>
  <c r="Y308" i="5"/>
  <c r="W308" i="5" s="1"/>
  <c r="Y309" i="5"/>
  <c r="W309" i="5" s="1"/>
  <c r="Y310" i="5"/>
  <c r="W310" i="5" s="1"/>
  <c r="Y311" i="5"/>
  <c r="W311" i="5" s="1"/>
  <c r="Y312" i="5"/>
  <c r="W312" i="5" s="1"/>
  <c r="Y313" i="5"/>
  <c r="W313" i="5" s="1"/>
  <c r="Y314" i="5"/>
  <c r="W314" i="5" s="1"/>
  <c r="Y315" i="5"/>
  <c r="W315" i="5" s="1"/>
  <c r="Y316" i="5"/>
  <c r="Y317" i="5"/>
  <c r="W317" i="5" s="1"/>
  <c r="Y318" i="5"/>
  <c r="W318" i="5" s="1"/>
  <c r="Y319" i="5"/>
  <c r="W319" i="5" s="1"/>
  <c r="Y320" i="5"/>
  <c r="W320" i="5" s="1"/>
  <c r="Y321" i="5"/>
  <c r="Y322" i="5"/>
  <c r="W322" i="5" s="1"/>
  <c r="Y323" i="5"/>
  <c r="W323" i="5" s="1"/>
  <c r="Y324" i="5"/>
  <c r="W324" i="5" s="1"/>
  <c r="Y325" i="5"/>
  <c r="W325" i="5" s="1"/>
  <c r="Y326" i="5"/>
  <c r="W326" i="5" s="1"/>
  <c r="Y327" i="5"/>
  <c r="W327" i="5" s="1"/>
  <c r="Y328" i="5"/>
  <c r="W328" i="5" s="1"/>
  <c r="Y329" i="5"/>
  <c r="W329" i="5" s="1"/>
  <c r="Y330" i="5"/>
  <c r="W330" i="5" s="1"/>
  <c r="Y331" i="5"/>
  <c r="W331" i="5" s="1"/>
  <c r="Y332" i="5"/>
  <c r="W332" i="5" s="1"/>
  <c r="Y333" i="5"/>
  <c r="W333" i="5" s="1"/>
  <c r="Y334" i="5"/>
  <c r="W334" i="5" s="1"/>
  <c r="Y335" i="5"/>
  <c r="W335" i="5" s="1"/>
  <c r="Y336" i="5"/>
  <c r="W336" i="5" s="1"/>
  <c r="Y337" i="5"/>
  <c r="W337" i="5" s="1"/>
  <c r="Y338" i="5"/>
  <c r="W338" i="5" s="1"/>
  <c r="Y339" i="5"/>
  <c r="W339" i="5" s="1"/>
  <c r="Y340" i="5"/>
  <c r="Y341" i="5"/>
  <c r="W341" i="5" s="1"/>
  <c r="Y342" i="5"/>
  <c r="W342" i="5" s="1"/>
  <c r="Y343" i="5"/>
  <c r="W343" i="5" s="1"/>
  <c r="Y344" i="5"/>
  <c r="W344" i="5" s="1"/>
  <c r="Y44" i="5"/>
  <c r="W44" i="5" s="1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V45" i="5"/>
  <c r="V46" i="5" s="1"/>
  <c r="S44" i="5"/>
  <c r="M50" i="5"/>
  <c r="M49" i="5" s="1"/>
  <c r="M48" i="5" s="1"/>
  <c r="M47" i="5" s="1"/>
  <c r="M46" i="5" s="1"/>
  <c r="M45" i="5" s="1"/>
  <c r="M44" i="5" s="1"/>
  <c r="M51" i="5"/>
  <c r="S52" i="5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O33" i="5"/>
  <c r="M53" i="5"/>
  <c r="AC33" i="5"/>
  <c r="P32" i="5"/>
  <c r="T32" i="5" s="1"/>
  <c r="V33" i="5"/>
  <c r="W32" i="5"/>
  <c r="AA32" i="5" s="1"/>
  <c r="H33" i="5"/>
  <c r="J20" i="8"/>
  <c r="L22" i="8"/>
  <c r="L21" i="8"/>
  <c r="L20" i="8"/>
  <c r="L23" i="8" s="1"/>
  <c r="L19" i="8"/>
  <c r="I500" i="4"/>
  <c r="I501" i="4"/>
  <c r="J504" i="4"/>
  <c r="K504" i="4" s="1"/>
  <c r="I504" i="4"/>
  <c r="J28" i="1"/>
  <c r="J26" i="1"/>
  <c r="J6" i="4"/>
  <c r="K6" i="4" s="1"/>
  <c r="J7" i="4"/>
  <c r="K7" i="4" s="1"/>
  <c r="J8" i="4"/>
  <c r="K8" i="4" s="1"/>
  <c r="M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J195" i="4"/>
  <c r="K195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K201" i="4" s="1"/>
  <c r="J202" i="4"/>
  <c r="K202" i="4" s="1"/>
  <c r="J203" i="4"/>
  <c r="K203" i="4" s="1"/>
  <c r="J204" i="4"/>
  <c r="K204" i="4" s="1"/>
  <c r="J205" i="4"/>
  <c r="K205" i="4" s="1"/>
  <c r="J206" i="4"/>
  <c r="K206" i="4" s="1"/>
  <c r="J207" i="4"/>
  <c r="K207" i="4" s="1"/>
  <c r="J208" i="4"/>
  <c r="K208" i="4" s="1"/>
  <c r="J209" i="4"/>
  <c r="K209" i="4" s="1"/>
  <c r="J210" i="4"/>
  <c r="K210" i="4" s="1"/>
  <c r="J211" i="4"/>
  <c r="K211" i="4" s="1"/>
  <c r="J212" i="4"/>
  <c r="K212" i="4" s="1"/>
  <c r="J213" i="4"/>
  <c r="K213" i="4" s="1"/>
  <c r="J214" i="4"/>
  <c r="K214" i="4" s="1"/>
  <c r="J215" i="4"/>
  <c r="K215" i="4" s="1"/>
  <c r="J216" i="4"/>
  <c r="K216" i="4" s="1"/>
  <c r="J217" i="4"/>
  <c r="K217" i="4" s="1"/>
  <c r="J218" i="4"/>
  <c r="K218" i="4" s="1"/>
  <c r="J219" i="4"/>
  <c r="K219" i="4" s="1"/>
  <c r="J220" i="4"/>
  <c r="K220" i="4" s="1"/>
  <c r="J221" i="4"/>
  <c r="K221" i="4" s="1"/>
  <c r="J222" i="4"/>
  <c r="K222" i="4" s="1"/>
  <c r="J223" i="4"/>
  <c r="K223" i="4" s="1"/>
  <c r="J224" i="4"/>
  <c r="K224" i="4" s="1"/>
  <c r="J225" i="4"/>
  <c r="K225" i="4" s="1"/>
  <c r="J226" i="4"/>
  <c r="K226" i="4" s="1"/>
  <c r="J227" i="4"/>
  <c r="K227" i="4" s="1"/>
  <c r="J228" i="4"/>
  <c r="K228" i="4" s="1"/>
  <c r="J229" i="4"/>
  <c r="K229" i="4" s="1"/>
  <c r="J230" i="4"/>
  <c r="K230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K236" i="4" s="1"/>
  <c r="J237" i="4"/>
  <c r="K237" i="4" s="1"/>
  <c r="J238" i="4"/>
  <c r="K238" i="4" s="1"/>
  <c r="J239" i="4"/>
  <c r="K239" i="4" s="1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K245" i="4" s="1"/>
  <c r="J246" i="4"/>
  <c r="K246" i="4" s="1"/>
  <c r="J247" i="4"/>
  <c r="K247" i="4" s="1"/>
  <c r="J248" i="4"/>
  <c r="K248" i="4" s="1"/>
  <c r="J249" i="4"/>
  <c r="K249" i="4" s="1"/>
  <c r="J250" i="4"/>
  <c r="K250" i="4" s="1"/>
  <c r="J251" i="4"/>
  <c r="K251" i="4" s="1"/>
  <c r="J252" i="4"/>
  <c r="K252" i="4" s="1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59" i="4"/>
  <c r="K259" i="4" s="1"/>
  <c r="J260" i="4"/>
  <c r="K260" i="4" s="1"/>
  <c r="J261" i="4"/>
  <c r="K261" i="4" s="1"/>
  <c r="J262" i="4"/>
  <c r="K262" i="4" s="1"/>
  <c r="J263" i="4"/>
  <c r="K263" i="4" s="1"/>
  <c r="J264" i="4"/>
  <c r="K264" i="4" s="1"/>
  <c r="J265" i="4"/>
  <c r="K265" i="4" s="1"/>
  <c r="J266" i="4"/>
  <c r="K266" i="4" s="1"/>
  <c r="J267" i="4"/>
  <c r="K267" i="4" s="1"/>
  <c r="J268" i="4"/>
  <c r="K268" i="4" s="1"/>
  <c r="J269" i="4"/>
  <c r="K269" i="4" s="1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K281" i="4" s="1"/>
  <c r="J282" i="4"/>
  <c r="K282" i="4" s="1"/>
  <c r="J283" i="4"/>
  <c r="K283" i="4" s="1"/>
  <c r="J284" i="4"/>
  <c r="K284" i="4" s="1"/>
  <c r="J285" i="4"/>
  <c r="K285" i="4" s="1"/>
  <c r="J286" i="4"/>
  <c r="K286" i="4" s="1"/>
  <c r="J287" i="4"/>
  <c r="K287" i="4" s="1"/>
  <c r="J288" i="4"/>
  <c r="K288" i="4" s="1"/>
  <c r="J289" i="4"/>
  <c r="K289" i="4" s="1"/>
  <c r="J290" i="4"/>
  <c r="K290" i="4" s="1"/>
  <c r="J291" i="4"/>
  <c r="K291" i="4" s="1"/>
  <c r="J292" i="4"/>
  <c r="K292" i="4" s="1"/>
  <c r="J293" i="4"/>
  <c r="K293" i="4" s="1"/>
  <c r="J294" i="4"/>
  <c r="K294" i="4" s="1"/>
  <c r="J295" i="4"/>
  <c r="K295" i="4" s="1"/>
  <c r="J296" i="4"/>
  <c r="K296" i="4" s="1"/>
  <c r="J297" i="4"/>
  <c r="K297" i="4" s="1"/>
  <c r="J298" i="4"/>
  <c r="K298" i="4" s="1"/>
  <c r="J299" i="4"/>
  <c r="K299" i="4" s="1"/>
  <c r="J300" i="4"/>
  <c r="K300" i="4" s="1"/>
  <c r="J301" i="4"/>
  <c r="K301" i="4" s="1"/>
  <c r="J302" i="4"/>
  <c r="K302" i="4" s="1"/>
  <c r="J303" i="4"/>
  <c r="K303" i="4" s="1"/>
  <c r="J304" i="4"/>
  <c r="K304" i="4" s="1"/>
  <c r="J305" i="4"/>
  <c r="K305" i="4" s="1"/>
  <c r="J306" i="4"/>
  <c r="K306" i="4" s="1"/>
  <c r="J307" i="4"/>
  <c r="K307" i="4" s="1"/>
  <c r="J308" i="4"/>
  <c r="K308" i="4" s="1"/>
  <c r="J309" i="4"/>
  <c r="K309" i="4" s="1"/>
  <c r="J310" i="4"/>
  <c r="K310" i="4" s="1"/>
  <c r="J311" i="4"/>
  <c r="K311" i="4" s="1"/>
  <c r="J312" i="4"/>
  <c r="K312" i="4" s="1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K319" i="4" s="1"/>
  <c r="J320" i="4"/>
  <c r="K320" i="4" s="1"/>
  <c r="J321" i="4"/>
  <c r="K321" i="4" s="1"/>
  <c r="J322" i="4"/>
  <c r="K322" i="4" s="1"/>
  <c r="J323" i="4"/>
  <c r="K323" i="4" s="1"/>
  <c r="J324" i="4"/>
  <c r="K324" i="4" s="1"/>
  <c r="J325" i="4"/>
  <c r="K325" i="4" s="1"/>
  <c r="J326" i="4"/>
  <c r="K326" i="4" s="1"/>
  <c r="J327" i="4"/>
  <c r="K327" i="4" s="1"/>
  <c r="J328" i="4"/>
  <c r="K328" i="4" s="1"/>
  <c r="J329" i="4"/>
  <c r="K329" i="4" s="1"/>
  <c r="J330" i="4"/>
  <c r="K330" i="4" s="1"/>
  <c r="J331" i="4"/>
  <c r="K331" i="4" s="1"/>
  <c r="J332" i="4"/>
  <c r="K332" i="4" s="1"/>
  <c r="J333" i="4"/>
  <c r="K333" i="4" s="1"/>
  <c r="J334" i="4"/>
  <c r="K334" i="4" s="1"/>
  <c r="J335" i="4"/>
  <c r="K335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K343" i="4" s="1"/>
  <c r="J344" i="4"/>
  <c r="K344" i="4" s="1"/>
  <c r="J345" i="4"/>
  <c r="K345" i="4" s="1"/>
  <c r="J346" i="4"/>
  <c r="K346" i="4" s="1"/>
  <c r="J347" i="4"/>
  <c r="K347" i="4" s="1"/>
  <c r="J348" i="4"/>
  <c r="K348" i="4" s="1"/>
  <c r="J349" i="4"/>
  <c r="K349" i="4" s="1"/>
  <c r="J350" i="4"/>
  <c r="K350" i="4" s="1"/>
  <c r="J351" i="4"/>
  <c r="K351" i="4" s="1"/>
  <c r="J352" i="4"/>
  <c r="K352" i="4" s="1"/>
  <c r="J353" i="4"/>
  <c r="K353" i="4" s="1"/>
  <c r="J354" i="4"/>
  <c r="K354" i="4" s="1"/>
  <c r="J355" i="4"/>
  <c r="K355" i="4" s="1"/>
  <c r="J356" i="4"/>
  <c r="K356" i="4" s="1"/>
  <c r="J357" i="4"/>
  <c r="K357" i="4" s="1"/>
  <c r="J358" i="4"/>
  <c r="K358" i="4" s="1"/>
  <c r="J359" i="4"/>
  <c r="K359" i="4" s="1"/>
  <c r="J360" i="4"/>
  <c r="K360" i="4" s="1"/>
  <c r="J361" i="4"/>
  <c r="K361" i="4" s="1"/>
  <c r="J362" i="4"/>
  <c r="K362" i="4" s="1"/>
  <c r="J363" i="4"/>
  <c r="K363" i="4" s="1"/>
  <c r="J364" i="4"/>
  <c r="K364" i="4" s="1"/>
  <c r="J365" i="4"/>
  <c r="K365" i="4" s="1"/>
  <c r="J366" i="4"/>
  <c r="K366" i="4" s="1"/>
  <c r="J367" i="4"/>
  <c r="K367" i="4" s="1"/>
  <c r="J368" i="4"/>
  <c r="K368" i="4" s="1"/>
  <c r="J369" i="4"/>
  <c r="K369" i="4" s="1"/>
  <c r="J370" i="4"/>
  <c r="K370" i="4" s="1"/>
  <c r="J371" i="4"/>
  <c r="K371" i="4" s="1"/>
  <c r="J372" i="4"/>
  <c r="K372" i="4" s="1"/>
  <c r="J373" i="4"/>
  <c r="K373" i="4" s="1"/>
  <c r="J374" i="4"/>
  <c r="K374" i="4" s="1"/>
  <c r="J375" i="4"/>
  <c r="K375" i="4" s="1"/>
  <c r="J376" i="4"/>
  <c r="K376" i="4" s="1"/>
  <c r="J377" i="4"/>
  <c r="K377" i="4" s="1"/>
  <c r="J378" i="4"/>
  <c r="K378" i="4" s="1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89" i="4"/>
  <c r="K389" i="4" s="1"/>
  <c r="J390" i="4"/>
  <c r="K390" i="4" s="1"/>
  <c r="J391" i="4"/>
  <c r="K391" i="4" s="1"/>
  <c r="J392" i="4"/>
  <c r="K392" i="4" s="1"/>
  <c r="J393" i="4"/>
  <c r="K393" i="4" s="1"/>
  <c r="J394" i="4"/>
  <c r="K394" i="4" s="1"/>
  <c r="J395" i="4"/>
  <c r="K395" i="4" s="1"/>
  <c r="J396" i="4"/>
  <c r="K396" i="4" s="1"/>
  <c r="J397" i="4"/>
  <c r="K397" i="4" s="1"/>
  <c r="J398" i="4"/>
  <c r="K398" i="4" s="1"/>
  <c r="J399" i="4"/>
  <c r="K399" i="4" s="1"/>
  <c r="J400" i="4"/>
  <c r="K400" i="4" s="1"/>
  <c r="J401" i="4"/>
  <c r="K401" i="4" s="1"/>
  <c r="J402" i="4"/>
  <c r="K402" i="4" s="1"/>
  <c r="J403" i="4"/>
  <c r="K403" i="4" s="1"/>
  <c r="J404" i="4"/>
  <c r="K404" i="4" s="1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 s="1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K421" i="4" s="1"/>
  <c r="J422" i="4"/>
  <c r="K422" i="4" s="1"/>
  <c r="J423" i="4"/>
  <c r="K423" i="4" s="1"/>
  <c r="J424" i="4"/>
  <c r="K424" i="4" s="1"/>
  <c r="J425" i="4"/>
  <c r="K425" i="4" s="1"/>
  <c r="J426" i="4"/>
  <c r="K426" i="4" s="1"/>
  <c r="J427" i="4"/>
  <c r="K427" i="4" s="1"/>
  <c r="J428" i="4"/>
  <c r="K428" i="4" s="1"/>
  <c r="J429" i="4"/>
  <c r="K429" i="4" s="1"/>
  <c r="J430" i="4"/>
  <c r="K430" i="4" s="1"/>
  <c r="J431" i="4"/>
  <c r="K431" i="4" s="1"/>
  <c r="J432" i="4"/>
  <c r="K432" i="4" s="1"/>
  <c r="J433" i="4"/>
  <c r="K433" i="4" s="1"/>
  <c r="J434" i="4"/>
  <c r="K434" i="4" s="1"/>
  <c r="J435" i="4"/>
  <c r="K435" i="4" s="1"/>
  <c r="J436" i="4"/>
  <c r="K436" i="4" s="1"/>
  <c r="J437" i="4"/>
  <c r="K437" i="4" s="1"/>
  <c r="J438" i="4"/>
  <c r="K438" i="4" s="1"/>
  <c r="J439" i="4"/>
  <c r="K439" i="4" s="1"/>
  <c r="J440" i="4"/>
  <c r="K440" i="4" s="1"/>
  <c r="J441" i="4"/>
  <c r="K441" i="4" s="1"/>
  <c r="J442" i="4"/>
  <c r="K442" i="4" s="1"/>
  <c r="J443" i="4"/>
  <c r="K443" i="4" s="1"/>
  <c r="J444" i="4"/>
  <c r="K444" i="4" s="1"/>
  <c r="J445" i="4"/>
  <c r="K445" i="4" s="1"/>
  <c r="J446" i="4"/>
  <c r="K446" i="4" s="1"/>
  <c r="J447" i="4"/>
  <c r="K447" i="4" s="1"/>
  <c r="J448" i="4"/>
  <c r="K448" i="4" s="1"/>
  <c r="J449" i="4"/>
  <c r="K449" i="4" s="1"/>
  <c r="J450" i="4"/>
  <c r="K450" i="4" s="1"/>
  <c r="J451" i="4"/>
  <c r="K451" i="4" s="1"/>
  <c r="J452" i="4"/>
  <c r="K452" i="4" s="1"/>
  <c r="J453" i="4"/>
  <c r="K453" i="4" s="1"/>
  <c r="J454" i="4"/>
  <c r="K454" i="4" s="1"/>
  <c r="J455" i="4"/>
  <c r="K455" i="4" s="1"/>
  <c r="J456" i="4"/>
  <c r="K456" i="4" s="1"/>
  <c r="J457" i="4"/>
  <c r="K457" i="4" s="1"/>
  <c r="J458" i="4"/>
  <c r="K458" i="4" s="1"/>
  <c r="J459" i="4"/>
  <c r="K459" i="4" s="1"/>
  <c r="J460" i="4"/>
  <c r="K460" i="4" s="1"/>
  <c r="J461" i="4"/>
  <c r="K461" i="4" s="1"/>
  <c r="J462" i="4"/>
  <c r="K462" i="4" s="1"/>
  <c r="J463" i="4"/>
  <c r="K463" i="4" s="1"/>
  <c r="J464" i="4"/>
  <c r="K464" i="4" s="1"/>
  <c r="J465" i="4"/>
  <c r="K465" i="4" s="1"/>
  <c r="J466" i="4"/>
  <c r="K466" i="4" s="1"/>
  <c r="J467" i="4"/>
  <c r="K467" i="4" s="1"/>
  <c r="J468" i="4"/>
  <c r="K468" i="4" s="1"/>
  <c r="J469" i="4"/>
  <c r="K469" i="4" s="1"/>
  <c r="J470" i="4"/>
  <c r="K470" i="4" s="1"/>
  <c r="J471" i="4"/>
  <c r="K471" i="4" s="1"/>
  <c r="J472" i="4"/>
  <c r="K472" i="4" s="1"/>
  <c r="J473" i="4"/>
  <c r="K473" i="4" s="1"/>
  <c r="J474" i="4"/>
  <c r="K474" i="4" s="1"/>
  <c r="J475" i="4"/>
  <c r="K475" i="4" s="1"/>
  <c r="J476" i="4"/>
  <c r="K476" i="4" s="1"/>
  <c r="J477" i="4"/>
  <c r="K477" i="4" s="1"/>
  <c r="J478" i="4"/>
  <c r="K478" i="4" s="1"/>
  <c r="J479" i="4"/>
  <c r="K479" i="4" s="1"/>
  <c r="J480" i="4"/>
  <c r="K480" i="4" s="1"/>
  <c r="J481" i="4"/>
  <c r="K481" i="4" s="1"/>
  <c r="J482" i="4"/>
  <c r="K482" i="4" s="1"/>
  <c r="J483" i="4"/>
  <c r="K483" i="4" s="1"/>
  <c r="J484" i="4"/>
  <c r="K484" i="4" s="1"/>
  <c r="J485" i="4"/>
  <c r="K485" i="4" s="1"/>
  <c r="J486" i="4"/>
  <c r="K486" i="4" s="1"/>
  <c r="J487" i="4"/>
  <c r="K487" i="4" s="1"/>
  <c r="J488" i="4"/>
  <c r="K488" i="4" s="1"/>
  <c r="J489" i="4"/>
  <c r="K489" i="4" s="1"/>
  <c r="J490" i="4"/>
  <c r="K490" i="4" s="1"/>
  <c r="J491" i="4"/>
  <c r="K491" i="4" s="1"/>
  <c r="J492" i="4"/>
  <c r="K492" i="4" s="1"/>
  <c r="J493" i="4"/>
  <c r="K493" i="4" s="1"/>
  <c r="J494" i="4"/>
  <c r="K494" i="4" s="1"/>
  <c r="J495" i="4"/>
  <c r="K495" i="4" s="1"/>
  <c r="J496" i="4"/>
  <c r="K496" i="4" s="1"/>
  <c r="J497" i="4"/>
  <c r="K497" i="4" s="1"/>
  <c r="J498" i="4"/>
  <c r="K498" i="4" s="1"/>
  <c r="J499" i="4"/>
  <c r="K499" i="4" s="1"/>
  <c r="J500" i="4"/>
  <c r="K500" i="4" s="1"/>
  <c r="J501" i="4"/>
  <c r="K501" i="4" s="1"/>
  <c r="J502" i="4"/>
  <c r="K502" i="4" s="1"/>
  <c r="J503" i="4"/>
  <c r="K503" i="4" s="1"/>
  <c r="J5" i="4"/>
  <c r="K5" i="4" s="1"/>
  <c r="C66" i="5"/>
  <c r="C65" i="5"/>
  <c r="E59" i="5"/>
  <c r="G37" i="5"/>
  <c r="F52" i="5"/>
  <c r="F53" i="5" s="1"/>
  <c r="F40" i="5"/>
  <c r="H36" i="5"/>
  <c r="I50" i="5"/>
  <c r="H48" i="5"/>
  <c r="G49" i="5" s="1"/>
  <c r="F45" i="5"/>
  <c r="F56" i="5" s="1"/>
  <c r="F39" i="5"/>
  <c r="E25" i="5"/>
  <c r="M24" i="5"/>
  <c r="E19" i="5"/>
  <c r="M18" i="5"/>
  <c r="R506" i="4"/>
  <c r="N33" i="3"/>
  <c r="N27" i="3"/>
  <c r="J24" i="1"/>
  <c r="N31" i="3"/>
  <c r="N29" i="3"/>
  <c r="N26" i="3"/>
  <c r="J27" i="3" s="1"/>
  <c r="N30" i="3"/>
  <c r="G31" i="3"/>
  <c r="J41" i="1"/>
  <c r="G27" i="3"/>
  <c r="C27" i="3"/>
  <c r="G28" i="3" s="1"/>
  <c r="G30" i="3"/>
  <c r="G26" i="3"/>
  <c r="J47" i="1"/>
  <c r="J45" i="1"/>
  <c r="K42" i="1"/>
  <c r="F41" i="1"/>
  <c r="K40" i="1"/>
  <c r="J44" i="1"/>
  <c r="J27" i="1"/>
  <c r="G76" i="7"/>
  <c r="Q61" i="7"/>
  <c r="R61" i="7" s="1"/>
  <c r="I80" i="7"/>
  <c r="K73" i="7" s="1"/>
  <c r="G73" i="7"/>
  <c r="G72" i="7"/>
  <c r="Q55" i="7"/>
  <c r="J55" i="7"/>
  <c r="I69" i="7"/>
  <c r="Q56" i="7"/>
  <c r="R56" i="7" s="1"/>
  <c r="Q64" i="7"/>
  <c r="R64" i="7" s="1"/>
  <c r="Q63" i="7"/>
  <c r="R63" i="7" s="1"/>
  <c r="Q62" i="7"/>
  <c r="R62" i="7" s="1"/>
  <c r="Q60" i="7"/>
  <c r="R60" i="7" s="1"/>
  <c r="Q59" i="7"/>
  <c r="R59" i="7" s="1"/>
  <c r="J64" i="7"/>
  <c r="K64" i="7" s="1"/>
  <c r="J63" i="7"/>
  <c r="K63" i="7" s="1"/>
  <c r="J62" i="7"/>
  <c r="K62" i="7" s="1"/>
  <c r="J60" i="7"/>
  <c r="K60" i="7" s="1"/>
  <c r="Q58" i="7"/>
  <c r="R58" i="7" s="1"/>
  <c r="Q57" i="7"/>
  <c r="R57" i="7" s="1"/>
  <c r="J59" i="7"/>
  <c r="K59" i="7" s="1"/>
  <c r="J56" i="7"/>
  <c r="K56" i="7" s="1"/>
  <c r="H44" i="7"/>
  <c r="H45" i="7"/>
  <c r="H39" i="7"/>
  <c r="H38" i="7"/>
  <c r="H31" i="7"/>
  <c r="H30" i="7"/>
  <c r="H25" i="7"/>
  <c r="H24" i="7"/>
  <c r="W6" i="6"/>
  <c r="K23" i="1"/>
  <c r="D4" i="1"/>
  <c r="S10" i="6"/>
  <c r="W8" i="6"/>
  <c r="M10" i="6"/>
  <c r="M8" i="6"/>
  <c r="M6" i="6"/>
  <c r="V8" i="6"/>
  <c r="V6" i="6"/>
  <c r="U8" i="6"/>
  <c r="U6" i="6"/>
  <c r="T10" i="6"/>
  <c r="S8" i="6"/>
  <c r="T8" i="6" s="1"/>
  <c r="M21" i="6"/>
  <c r="M31" i="6" s="1"/>
  <c r="M19" i="6"/>
  <c r="D19" i="1"/>
  <c r="G21" i="6"/>
  <c r="G30" i="6" s="1"/>
  <c r="G19" i="6"/>
  <c r="S6" i="6"/>
  <c r="T6" i="6" s="1"/>
  <c r="E26" i="5"/>
  <c r="H24" i="5"/>
  <c r="E20" i="5"/>
  <c r="H18" i="5"/>
  <c r="K70" i="7" l="1"/>
  <c r="I5" i="12"/>
  <c r="B6" i="12"/>
  <c r="B7" i="12" s="1"/>
  <c r="B8" i="12" s="1"/>
  <c r="H5" i="12"/>
  <c r="G5" i="12"/>
  <c r="K5" i="12" s="1"/>
  <c r="J7" i="12"/>
  <c r="C10" i="12"/>
  <c r="J8" i="12"/>
  <c r="C9" i="12"/>
  <c r="G4" i="12"/>
  <c r="K4" i="12" s="1"/>
  <c r="M4" i="12" s="1"/>
  <c r="J6" i="12"/>
  <c r="G4" i="11"/>
  <c r="K4" i="11" s="1"/>
  <c r="M4" i="11" s="1"/>
  <c r="J55" i="11"/>
  <c r="J54" i="11"/>
  <c r="J53" i="11"/>
  <c r="J52" i="11"/>
  <c r="J51" i="11"/>
  <c r="J50" i="11"/>
  <c r="J49" i="11"/>
  <c r="J47" i="11"/>
  <c r="J46" i="11"/>
  <c r="B6" i="11"/>
  <c r="F5" i="11"/>
  <c r="H5" i="11" s="1"/>
  <c r="C12" i="11"/>
  <c r="C11" i="11"/>
  <c r="J5" i="11"/>
  <c r="C8" i="9"/>
  <c r="J6" i="9"/>
  <c r="F5" i="9"/>
  <c r="G5" i="9" s="1"/>
  <c r="K5" i="9" s="1"/>
  <c r="B6" i="9"/>
  <c r="O6" i="9" s="1"/>
  <c r="H4" i="9"/>
  <c r="M4" i="9" s="1"/>
  <c r="J8" i="9"/>
  <c r="K71" i="7"/>
  <c r="H26" i="7"/>
  <c r="H27" i="7" s="1"/>
  <c r="I76" i="7"/>
  <c r="K76" i="7" s="1"/>
  <c r="S48" i="5"/>
  <c r="S47" i="5"/>
  <c r="S46" i="5"/>
  <c r="S45" i="5"/>
  <c r="S51" i="5"/>
  <c r="S50" i="5"/>
  <c r="S49" i="5"/>
  <c r="V47" i="5"/>
  <c r="M54" i="5"/>
  <c r="M55" i="5" s="1"/>
  <c r="M56" i="5" s="1"/>
  <c r="M57" i="5" s="1"/>
  <c r="AC34" i="5"/>
  <c r="AC35" i="5" s="1"/>
  <c r="G54" i="5"/>
  <c r="E55" i="5" s="1"/>
  <c r="D66" i="5" s="1"/>
  <c r="E60" i="5"/>
  <c r="F66" i="5" s="1"/>
  <c r="G34" i="5"/>
  <c r="G41" i="5"/>
  <c r="O34" i="5"/>
  <c r="O35" i="5" s="1"/>
  <c r="V34" i="5"/>
  <c r="V35" i="5" s="1"/>
  <c r="J505" i="4"/>
  <c r="E27" i="5"/>
  <c r="E28" i="5" s="1"/>
  <c r="E21" i="5"/>
  <c r="E22" i="5" s="1"/>
  <c r="N28" i="3"/>
  <c r="G29" i="3"/>
  <c r="G33" i="3"/>
  <c r="G77" i="7"/>
  <c r="G78" i="7"/>
  <c r="I79" i="7"/>
  <c r="I78" i="7"/>
  <c r="K78" i="7" s="1"/>
  <c r="I77" i="7"/>
  <c r="G79" i="7"/>
  <c r="I75" i="7"/>
  <c r="G75" i="7"/>
  <c r="I74" i="7"/>
  <c r="I72" i="7"/>
  <c r="K72" i="7" s="1"/>
  <c r="I73" i="7"/>
  <c r="H32" i="7"/>
  <c r="H33" i="7" s="1"/>
  <c r="I71" i="7"/>
  <c r="G71" i="7"/>
  <c r="R55" i="7"/>
  <c r="I70" i="7" s="1"/>
  <c r="H46" i="7"/>
  <c r="H47" i="7" s="1"/>
  <c r="H40" i="7"/>
  <c r="H41" i="7" s="1"/>
  <c r="M30" i="6"/>
  <c r="M32" i="6" s="1"/>
  <c r="L34" i="6" s="1"/>
  <c r="E10" i="6" s="1"/>
  <c r="G31" i="6"/>
  <c r="G32" i="6" s="1"/>
  <c r="F34" i="6" s="1"/>
  <c r="E8" i="6" s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2" i="4" s="1"/>
  <c r="I503" i="4" s="1"/>
  <c r="D15" i="4"/>
  <c r="D14" i="4"/>
  <c r="D4" i="4"/>
  <c r="K22" i="3"/>
  <c r="K21" i="3"/>
  <c r="K4" i="3"/>
  <c r="D21" i="3"/>
  <c r="D22" i="3"/>
  <c r="D4" i="3"/>
  <c r="F21" i="2"/>
  <c r="F22" i="2"/>
  <c r="F16" i="2"/>
  <c r="F15" i="2"/>
  <c r="F17" i="2" s="1"/>
  <c r="F19" i="2" s="1"/>
  <c r="G7" i="5" s="1"/>
  <c r="D21" i="2"/>
  <c r="D15" i="2"/>
  <c r="D22" i="2"/>
  <c r="D16" i="2"/>
  <c r="D17" i="2" s="1"/>
  <c r="D19" i="2" s="1"/>
  <c r="E7" i="5" s="1"/>
  <c r="D4" i="2"/>
  <c r="D37" i="1"/>
  <c r="D36" i="1"/>
  <c r="D20" i="1"/>
  <c r="D21" i="1" s="1"/>
  <c r="F7" i="12" l="1"/>
  <c r="H7" i="12" s="1"/>
  <c r="I7" i="12"/>
  <c r="I6" i="12"/>
  <c r="F6" i="12"/>
  <c r="H6" i="12" s="1"/>
  <c r="O6" i="12"/>
  <c r="M5" i="12"/>
  <c r="N4" i="12" s="1"/>
  <c r="G7" i="12"/>
  <c r="K7" i="12" s="1"/>
  <c r="C12" i="12"/>
  <c r="C11" i="12"/>
  <c r="J10" i="12"/>
  <c r="B9" i="12"/>
  <c r="I8" i="12"/>
  <c r="O8" i="12"/>
  <c r="F8" i="12"/>
  <c r="J9" i="12"/>
  <c r="G5" i="11"/>
  <c r="K5" i="11" s="1"/>
  <c r="M5" i="11" s="1"/>
  <c r="N4" i="11" s="1"/>
  <c r="C14" i="11"/>
  <c r="J12" i="11"/>
  <c r="C13" i="11"/>
  <c r="J11" i="11"/>
  <c r="B7" i="11"/>
  <c r="F6" i="11"/>
  <c r="H6" i="11" s="1"/>
  <c r="O6" i="11"/>
  <c r="I6" i="11"/>
  <c r="C9" i="9"/>
  <c r="J9" i="9" s="1"/>
  <c r="C10" i="9"/>
  <c r="H5" i="9"/>
  <c r="M5" i="9" s="1"/>
  <c r="B7" i="9"/>
  <c r="I6" i="9"/>
  <c r="F6" i="9"/>
  <c r="K74" i="7"/>
  <c r="V48" i="5"/>
  <c r="E44" i="5"/>
  <c r="E66" i="5" s="1"/>
  <c r="M58" i="5"/>
  <c r="J43" i="1"/>
  <c r="C23" i="1"/>
  <c r="F7" i="5" s="1"/>
  <c r="D38" i="1"/>
  <c r="C40" i="1" s="1"/>
  <c r="G6" i="6" s="1"/>
  <c r="K75" i="7"/>
  <c r="K77" i="7"/>
  <c r="K79" i="7"/>
  <c r="L8" i="6"/>
  <c r="L487" i="4"/>
  <c r="L335" i="4"/>
  <c r="L462" i="4"/>
  <c r="Q462" i="4" s="1"/>
  <c r="F8" i="5"/>
  <c r="L415" i="4"/>
  <c r="M183" i="4"/>
  <c r="L406" i="4"/>
  <c r="M326" i="4"/>
  <c r="M442" i="4"/>
  <c r="M258" i="4"/>
  <c r="M242" i="4"/>
  <c r="M410" i="4"/>
  <c r="M298" i="4"/>
  <c r="M465" i="4"/>
  <c r="M457" i="4"/>
  <c r="M393" i="4"/>
  <c r="M337" i="4"/>
  <c r="M305" i="4"/>
  <c r="M273" i="4"/>
  <c r="M257" i="4"/>
  <c r="M177" i="4"/>
  <c r="L94" i="4"/>
  <c r="L78" i="4"/>
  <c r="L397" i="4"/>
  <c r="L341" i="4"/>
  <c r="Q341" i="4" s="1"/>
  <c r="L261" i="4"/>
  <c r="L229" i="4"/>
  <c r="Q229" i="4" s="1"/>
  <c r="L197" i="4"/>
  <c r="L157" i="4"/>
  <c r="M77" i="4"/>
  <c r="L69" i="4"/>
  <c r="L468" i="4"/>
  <c r="L436" i="4"/>
  <c r="L380" i="4"/>
  <c r="L372" i="4"/>
  <c r="L332" i="4"/>
  <c r="Q332" i="4" s="1"/>
  <c r="L252" i="4"/>
  <c r="Q252" i="4" s="1"/>
  <c r="M244" i="4"/>
  <c r="L86" i="4"/>
  <c r="M459" i="4"/>
  <c r="M451" i="4"/>
  <c r="M443" i="4"/>
  <c r="M411" i="4"/>
  <c r="M403" i="4"/>
  <c r="M323" i="4"/>
  <c r="M315" i="4"/>
  <c r="M251" i="4"/>
  <c r="M219" i="4"/>
  <c r="M139" i="4"/>
  <c r="M131" i="4"/>
  <c r="M91" i="4"/>
  <c r="M59" i="4"/>
  <c r="M161" i="4"/>
  <c r="M105" i="4"/>
  <c r="M97" i="4"/>
  <c r="M89" i="4"/>
  <c r="M57" i="4"/>
  <c r="L144" i="4"/>
  <c r="L136" i="4"/>
  <c r="L128" i="4"/>
  <c r="L72" i="4"/>
  <c r="L64" i="4"/>
  <c r="Q64" i="4" s="1"/>
  <c r="L124" i="4"/>
  <c r="L116" i="4"/>
  <c r="Q116" i="4" s="1"/>
  <c r="L108" i="4"/>
  <c r="M100" i="4"/>
  <c r="M68" i="4"/>
  <c r="M146" i="4"/>
  <c r="M138" i="4"/>
  <c r="M82" i="4"/>
  <c r="M74" i="4"/>
  <c r="M66" i="4"/>
  <c r="M5" i="4"/>
  <c r="D16" i="4"/>
  <c r="D18" i="4" s="1"/>
  <c r="M280" i="4" s="1"/>
  <c r="K23" i="3"/>
  <c r="K25" i="3" s="1"/>
  <c r="D23" i="3"/>
  <c r="D25" i="3" s="1"/>
  <c r="F23" i="2"/>
  <c r="F25" i="2" s="1"/>
  <c r="G8" i="5" s="1"/>
  <c r="D23" i="2"/>
  <c r="D25" i="2" s="1"/>
  <c r="E8" i="5" s="1"/>
  <c r="M7" i="12" l="1"/>
  <c r="G6" i="12"/>
  <c r="K6" i="12" s="1"/>
  <c r="M6" i="12" s="1"/>
  <c r="N6" i="12"/>
  <c r="J11" i="12"/>
  <c r="B10" i="12"/>
  <c r="F9" i="12"/>
  <c r="H9" i="12" s="1"/>
  <c r="I9" i="12"/>
  <c r="C14" i="12"/>
  <c r="C13" i="12"/>
  <c r="J12" i="12"/>
  <c r="H8" i="12"/>
  <c r="G8" i="12"/>
  <c r="K8" i="12" s="1"/>
  <c r="G6" i="11"/>
  <c r="K6" i="11" s="1"/>
  <c r="I7" i="11"/>
  <c r="B8" i="11"/>
  <c r="F7" i="11"/>
  <c r="H7" i="11" s="1"/>
  <c r="J13" i="11"/>
  <c r="M6" i="11"/>
  <c r="C16" i="11"/>
  <c r="C15" i="11"/>
  <c r="J14" i="11"/>
  <c r="J10" i="9"/>
  <c r="C11" i="9"/>
  <c r="J11" i="9" s="1"/>
  <c r="C12" i="9"/>
  <c r="G6" i="9"/>
  <c r="K6" i="9" s="1"/>
  <c r="H6" i="9"/>
  <c r="I7" i="9"/>
  <c r="B8" i="9"/>
  <c r="O8" i="9" s="1"/>
  <c r="F7" i="9"/>
  <c r="V49" i="5"/>
  <c r="M59" i="5"/>
  <c r="F24" i="1"/>
  <c r="E6" i="6"/>
  <c r="M335" i="4"/>
  <c r="P462" i="4"/>
  <c r="M332" i="4"/>
  <c r="M487" i="4"/>
  <c r="M229" i="4"/>
  <c r="M94" i="4"/>
  <c r="L465" i="4"/>
  <c r="Q465" i="4" s="1"/>
  <c r="M397" i="4"/>
  <c r="L77" i="4"/>
  <c r="Q77" i="4" s="1"/>
  <c r="M406" i="4"/>
  <c r="M128" i="4"/>
  <c r="P341" i="4"/>
  <c r="M72" i="4"/>
  <c r="M468" i="4"/>
  <c r="L138" i="4"/>
  <c r="P138" i="4" s="1"/>
  <c r="M341" i="4"/>
  <c r="M86" i="4"/>
  <c r="L139" i="4"/>
  <c r="Q139" i="4" s="1"/>
  <c r="L66" i="4"/>
  <c r="Q66" i="4" s="1"/>
  <c r="L251" i="4"/>
  <c r="P251" i="4" s="1"/>
  <c r="L459" i="4"/>
  <c r="Q459" i="4" s="1"/>
  <c r="P64" i="4"/>
  <c r="P332" i="4"/>
  <c r="P116" i="4"/>
  <c r="M124" i="4"/>
  <c r="M144" i="4"/>
  <c r="L242" i="4"/>
  <c r="P242" i="4" s="1"/>
  <c r="M157" i="4"/>
  <c r="L337" i="4"/>
  <c r="P337" i="4" s="1"/>
  <c r="M136" i="4"/>
  <c r="L393" i="4"/>
  <c r="P393" i="4" s="1"/>
  <c r="M252" i="4"/>
  <c r="L315" i="4"/>
  <c r="P315" i="4" s="1"/>
  <c r="L411" i="4"/>
  <c r="P411" i="4" s="1"/>
  <c r="M212" i="4"/>
  <c r="L212" i="4"/>
  <c r="Q212" i="4" s="1"/>
  <c r="L37" i="4"/>
  <c r="P37" i="4" s="1"/>
  <c r="M37" i="4"/>
  <c r="L357" i="4"/>
  <c r="M357" i="4"/>
  <c r="M108" i="4"/>
  <c r="Q415" i="4"/>
  <c r="P415" i="4"/>
  <c r="M415" i="4"/>
  <c r="Q197" i="4"/>
  <c r="P197" i="4"/>
  <c r="M78" i="4"/>
  <c r="M372" i="4"/>
  <c r="P252" i="4"/>
  <c r="M123" i="4"/>
  <c r="L123" i="4"/>
  <c r="P123" i="4" s="1"/>
  <c r="P108" i="4"/>
  <c r="Q108" i="4"/>
  <c r="P372" i="4"/>
  <c r="Q372" i="4"/>
  <c r="M197" i="4"/>
  <c r="L259" i="4"/>
  <c r="Q259" i="4" s="1"/>
  <c r="M259" i="4"/>
  <c r="Q406" i="4"/>
  <c r="P406" i="4"/>
  <c r="P468" i="4"/>
  <c r="Q468" i="4"/>
  <c r="L477" i="4"/>
  <c r="M477" i="4"/>
  <c r="M449" i="4"/>
  <c r="M255" i="4"/>
  <c r="P380" i="4"/>
  <c r="Q380" i="4"/>
  <c r="L389" i="4"/>
  <c r="M389" i="4"/>
  <c r="L470" i="4"/>
  <c r="M470" i="4"/>
  <c r="P487" i="4"/>
  <c r="Q487" i="4"/>
  <c r="M69" i="4"/>
  <c r="P229" i="4"/>
  <c r="M261" i="4"/>
  <c r="L183" i="4"/>
  <c r="Q183" i="4" s="1"/>
  <c r="M436" i="4"/>
  <c r="L68" i="4"/>
  <c r="Q68" i="4" s="1"/>
  <c r="L100" i="4"/>
  <c r="P100" i="4" s="1"/>
  <c r="L74" i="4"/>
  <c r="P74" i="4" s="1"/>
  <c r="L146" i="4"/>
  <c r="P146" i="4" s="1"/>
  <c r="L258" i="4"/>
  <c r="P258" i="4" s="1"/>
  <c r="L442" i="4"/>
  <c r="P442" i="4" s="1"/>
  <c r="L443" i="4"/>
  <c r="Q443" i="4" s="1"/>
  <c r="L91" i="4"/>
  <c r="Q91" i="4" s="1"/>
  <c r="L219" i="4"/>
  <c r="P219" i="4" s="1"/>
  <c r="L97" i="4"/>
  <c r="Q97" i="4" s="1"/>
  <c r="M380" i="4"/>
  <c r="M152" i="4"/>
  <c r="M185" i="4"/>
  <c r="M192" i="4"/>
  <c r="P436" i="4"/>
  <c r="Q436" i="4"/>
  <c r="P397" i="4"/>
  <c r="Q397" i="4"/>
  <c r="L497" i="4"/>
  <c r="M497" i="4"/>
  <c r="M116" i="4"/>
  <c r="M64" i="4"/>
  <c r="L298" i="4"/>
  <c r="Q298" i="4" s="1"/>
  <c r="L410" i="4"/>
  <c r="P410" i="4" s="1"/>
  <c r="L59" i="4"/>
  <c r="P59" i="4" s="1"/>
  <c r="L131" i="4"/>
  <c r="P131" i="4" s="1"/>
  <c r="L323" i="4"/>
  <c r="Q323" i="4" s="1"/>
  <c r="L257" i="4"/>
  <c r="Q257" i="4" s="1"/>
  <c r="M462" i="4"/>
  <c r="M19" i="4"/>
  <c r="M339" i="4"/>
  <c r="M377" i="4"/>
  <c r="M402" i="4"/>
  <c r="M95" i="4"/>
  <c r="O8" i="4"/>
  <c r="O16" i="4"/>
  <c r="O24" i="4"/>
  <c r="O32" i="4"/>
  <c r="O40" i="4"/>
  <c r="O48" i="4"/>
  <c r="O56" i="4"/>
  <c r="O64" i="4"/>
  <c r="O72" i="4"/>
  <c r="O80" i="4"/>
  <c r="O88" i="4"/>
  <c r="O96" i="4"/>
  <c r="O104" i="4"/>
  <c r="O112" i="4"/>
  <c r="O120" i="4"/>
  <c r="O128" i="4"/>
  <c r="O136" i="4"/>
  <c r="O144" i="4"/>
  <c r="O152" i="4"/>
  <c r="O160" i="4"/>
  <c r="O168" i="4"/>
  <c r="O176" i="4"/>
  <c r="O184" i="4"/>
  <c r="O192" i="4"/>
  <c r="O200" i="4"/>
  <c r="O208" i="4"/>
  <c r="O216" i="4"/>
  <c r="O224" i="4"/>
  <c r="O232" i="4"/>
  <c r="O240" i="4"/>
  <c r="O248" i="4"/>
  <c r="O256" i="4"/>
  <c r="O264" i="4"/>
  <c r="O272" i="4"/>
  <c r="O280" i="4"/>
  <c r="O288" i="4"/>
  <c r="O296" i="4"/>
  <c r="O304" i="4"/>
  <c r="O312" i="4"/>
  <c r="O320" i="4"/>
  <c r="O328" i="4"/>
  <c r="O336" i="4"/>
  <c r="O344" i="4"/>
  <c r="O352" i="4"/>
  <c r="O360" i="4"/>
  <c r="O368" i="4"/>
  <c r="O376" i="4"/>
  <c r="O384" i="4"/>
  <c r="O392" i="4"/>
  <c r="O400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4" i="4"/>
  <c r="O9" i="4"/>
  <c r="O17" i="4"/>
  <c r="O25" i="4"/>
  <c r="O33" i="4"/>
  <c r="O41" i="4"/>
  <c r="O49" i="4"/>
  <c r="O57" i="4"/>
  <c r="O65" i="4"/>
  <c r="O73" i="4"/>
  <c r="O81" i="4"/>
  <c r="O89" i="4"/>
  <c r="O97" i="4"/>
  <c r="O105" i="4"/>
  <c r="O113" i="4"/>
  <c r="O121" i="4"/>
  <c r="O129" i="4"/>
  <c r="O137" i="4"/>
  <c r="O145" i="4"/>
  <c r="O153" i="4"/>
  <c r="O161" i="4"/>
  <c r="O169" i="4"/>
  <c r="O177" i="4"/>
  <c r="O185" i="4"/>
  <c r="O193" i="4"/>
  <c r="O201" i="4"/>
  <c r="O209" i="4"/>
  <c r="O217" i="4"/>
  <c r="O225" i="4"/>
  <c r="O233" i="4"/>
  <c r="O241" i="4"/>
  <c r="O249" i="4"/>
  <c r="O257" i="4"/>
  <c r="O265" i="4"/>
  <c r="O273" i="4"/>
  <c r="O281" i="4"/>
  <c r="O289" i="4"/>
  <c r="O297" i="4"/>
  <c r="O305" i="4"/>
  <c r="O313" i="4"/>
  <c r="O321" i="4"/>
  <c r="O329" i="4"/>
  <c r="O337" i="4"/>
  <c r="O345" i="4"/>
  <c r="O353" i="4"/>
  <c r="O361" i="4"/>
  <c r="O369" i="4"/>
  <c r="O377" i="4"/>
  <c r="O385" i="4"/>
  <c r="O393" i="4"/>
  <c r="O401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10" i="4"/>
  <c r="O18" i="4"/>
  <c r="O26" i="4"/>
  <c r="O34" i="4"/>
  <c r="O42" i="4"/>
  <c r="O50" i="4"/>
  <c r="O58" i="4"/>
  <c r="O66" i="4"/>
  <c r="O74" i="4"/>
  <c r="O82" i="4"/>
  <c r="O90" i="4"/>
  <c r="O98" i="4"/>
  <c r="O106" i="4"/>
  <c r="O114" i="4"/>
  <c r="O122" i="4"/>
  <c r="O130" i="4"/>
  <c r="O138" i="4"/>
  <c r="O146" i="4"/>
  <c r="O154" i="4"/>
  <c r="O162" i="4"/>
  <c r="O170" i="4"/>
  <c r="O178" i="4"/>
  <c r="O186" i="4"/>
  <c r="O194" i="4"/>
  <c r="O202" i="4"/>
  <c r="O210" i="4"/>
  <c r="O218" i="4"/>
  <c r="O226" i="4"/>
  <c r="O234" i="4"/>
  <c r="O242" i="4"/>
  <c r="O250" i="4"/>
  <c r="O258" i="4"/>
  <c r="O266" i="4"/>
  <c r="O274" i="4"/>
  <c r="O282" i="4"/>
  <c r="O290" i="4"/>
  <c r="O298" i="4"/>
  <c r="O306" i="4"/>
  <c r="O314" i="4"/>
  <c r="O322" i="4"/>
  <c r="O330" i="4"/>
  <c r="O338" i="4"/>
  <c r="O346" i="4"/>
  <c r="O354" i="4"/>
  <c r="O362" i="4"/>
  <c r="O370" i="4"/>
  <c r="O378" i="4"/>
  <c r="O386" i="4"/>
  <c r="O394" i="4"/>
  <c r="O402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12" i="4"/>
  <c r="O20" i="4"/>
  <c r="O28" i="4"/>
  <c r="O36" i="4"/>
  <c r="O44" i="4"/>
  <c r="O52" i="4"/>
  <c r="O60" i="4"/>
  <c r="O68" i="4"/>
  <c r="O76" i="4"/>
  <c r="O84" i="4"/>
  <c r="O92" i="4"/>
  <c r="O100" i="4"/>
  <c r="O108" i="4"/>
  <c r="O116" i="4"/>
  <c r="O124" i="4"/>
  <c r="O132" i="4"/>
  <c r="O140" i="4"/>
  <c r="O148" i="4"/>
  <c r="O156" i="4"/>
  <c r="O164" i="4"/>
  <c r="O172" i="4"/>
  <c r="O180" i="4"/>
  <c r="O188" i="4"/>
  <c r="O196" i="4"/>
  <c r="O204" i="4"/>
  <c r="O212" i="4"/>
  <c r="O220" i="4"/>
  <c r="O228" i="4"/>
  <c r="O236" i="4"/>
  <c r="O244" i="4"/>
  <c r="O252" i="4"/>
  <c r="O260" i="4"/>
  <c r="O268" i="4"/>
  <c r="O276" i="4"/>
  <c r="O284" i="4"/>
  <c r="O292" i="4"/>
  <c r="O300" i="4"/>
  <c r="O308" i="4"/>
  <c r="O316" i="4"/>
  <c r="O324" i="4"/>
  <c r="O332" i="4"/>
  <c r="O340" i="4"/>
  <c r="O348" i="4"/>
  <c r="O356" i="4"/>
  <c r="O364" i="4"/>
  <c r="O372" i="4"/>
  <c r="O380" i="4"/>
  <c r="O388" i="4"/>
  <c r="O396" i="4"/>
  <c r="O404" i="4"/>
  <c r="O412" i="4"/>
  <c r="O420" i="4"/>
  <c r="O428" i="4"/>
  <c r="O436" i="4"/>
  <c r="O444" i="4"/>
  <c r="O452" i="4"/>
  <c r="O460" i="4"/>
  <c r="O468" i="4"/>
  <c r="O476" i="4"/>
  <c r="O484" i="4"/>
  <c r="O492" i="4"/>
  <c r="O500" i="4"/>
  <c r="O13" i="4"/>
  <c r="O21" i="4"/>
  <c r="O29" i="4"/>
  <c r="O37" i="4"/>
  <c r="O45" i="4"/>
  <c r="O53" i="4"/>
  <c r="O61" i="4"/>
  <c r="O69" i="4"/>
  <c r="O77" i="4"/>
  <c r="O85" i="4"/>
  <c r="O93" i="4"/>
  <c r="O101" i="4"/>
  <c r="O109" i="4"/>
  <c r="O117" i="4"/>
  <c r="O125" i="4"/>
  <c r="O133" i="4"/>
  <c r="O141" i="4"/>
  <c r="O149" i="4"/>
  <c r="O157" i="4"/>
  <c r="O165" i="4"/>
  <c r="O173" i="4"/>
  <c r="O181" i="4"/>
  <c r="O189" i="4"/>
  <c r="O197" i="4"/>
  <c r="O205" i="4"/>
  <c r="O213" i="4"/>
  <c r="O221" i="4"/>
  <c r="O229" i="4"/>
  <c r="O237" i="4"/>
  <c r="O245" i="4"/>
  <c r="O253" i="4"/>
  <c r="O261" i="4"/>
  <c r="O269" i="4"/>
  <c r="O277" i="4"/>
  <c r="O285" i="4"/>
  <c r="O293" i="4"/>
  <c r="O301" i="4"/>
  <c r="O309" i="4"/>
  <c r="O317" i="4"/>
  <c r="O325" i="4"/>
  <c r="O333" i="4"/>
  <c r="O341" i="4"/>
  <c r="O349" i="4"/>
  <c r="O357" i="4"/>
  <c r="O365" i="4"/>
  <c r="O373" i="4"/>
  <c r="O381" i="4"/>
  <c r="O389" i="4"/>
  <c r="O397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501" i="4"/>
  <c r="O6" i="4"/>
  <c r="O14" i="4"/>
  <c r="O22" i="4"/>
  <c r="O30" i="4"/>
  <c r="O38" i="4"/>
  <c r="O46" i="4"/>
  <c r="O54" i="4"/>
  <c r="O62" i="4"/>
  <c r="O70" i="4"/>
  <c r="O78" i="4"/>
  <c r="O86" i="4"/>
  <c r="O94" i="4"/>
  <c r="O102" i="4"/>
  <c r="O110" i="4"/>
  <c r="O118" i="4"/>
  <c r="O126" i="4"/>
  <c r="O134" i="4"/>
  <c r="O142" i="4"/>
  <c r="O150" i="4"/>
  <c r="O158" i="4"/>
  <c r="O166" i="4"/>
  <c r="O174" i="4"/>
  <c r="O182" i="4"/>
  <c r="O190" i="4"/>
  <c r="O198" i="4"/>
  <c r="O206" i="4"/>
  <c r="O214" i="4"/>
  <c r="O222" i="4"/>
  <c r="O230" i="4"/>
  <c r="O238" i="4"/>
  <c r="O246" i="4"/>
  <c r="O254" i="4"/>
  <c r="O262" i="4"/>
  <c r="O270" i="4"/>
  <c r="O278" i="4"/>
  <c r="O286" i="4"/>
  <c r="O294" i="4"/>
  <c r="O302" i="4"/>
  <c r="O310" i="4"/>
  <c r="O318" i="4"/>
  <c r="O326" i="4"/>
  <c r="O334" i="4"/>
  <c r="O342" i="4"/>
  <c r="O350" i="4"/>
  <c r="O358" i="4"/>
  <c r="O366" i="4"/>
  <c r="O374" i="4"/>
  <c r="O382" i="4"/>
  <c r="O390" i="4"/>
  <c r="O398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502" i="4"/>
  <c r="O7" i="4"/>
  <c r="O15" i="4"/>
  <c r="O23" i="4"/>
  <c r="O31" i="4"/>
  <c r="O39" i="4"/>
  <c r="O47" i="4"/>
  <c r="O55" i="4"/>
  <c r="O63" i="4"/>
  <c r="O71" i="4"/>
  <c r="O79" i="4"/>
  <c r="O87" i="4"/>
  <c r="O95" i="4"/>
  <c r="O103" i="4"/>
  <c r="O111" i="4"/>
  <c r="O119" i="4"/>
  <c r="O127" i="4"/>
  <c r="O135" i="4"/>
  <c r="O143" i="4"/>
  <c r="O151" i="4"/>
  <c r="O159" i="4"/>
  <c r="O167" i="4"/>
  <c r="O175" i="4"/>
  <c r="O183" i="4"/>
  <c r="O191" i="4"/>
  <c r="O199" i="4"/>
  <c r="O207" i="4"/>
  <c r="O215" i="4"/>
  <c r="O223" i="4"/>
  <c r="O231" i="4"/>
  <c r="O239" i="4"/>
  <c r="O247" i="4"/>
  <c r="O255" i="4"/>
  <c r="O263" i="4"/>
  <c r="O271" i="4"/>
  <c r="O279" i="4"/>
  <c r="O287" i="4"/>
  <c r="O295" i="4"/>
  <c r="O303" i="4"/>
  <c r="O311" i="4"/>
  <c r="O319" i="4"/>
  <c r="O327" i="4"/>
  <c r="O335" i="4"/>
  <c r="O343" i="4"/>
  <c r="O351" i="4"/>
  <c r="O359" i="4"/>
  <c r="O367" i="4"/>
  <c r="O375" i="4"/>
  <c r="O383" i="4"/>
  <c r="O391" i="4"/>
  <c r="O399" i="4"/>
  <c r="O407" i="4"/>
  <c r="O415" i="4"/>
  <c r="O423" i="4"/>
  <c r="O431" i="4"/>
  <c r="O439" i="4"/>
  <c r="O447" i="4"/>
  <c r="O455" i="4"/>
  <c r="O463" i="4"/>
  <c r="O471" i="4"/>
  <c r="O479" i="4"/>
  <c r="O487" i="4"/>
  <c r="O495" i="4"/>
  <c r="O503" i="4"/>
  <c r="O27" i="4"/>
  <c r="O91" i="4"/>
  <c r="O155" i="4"/>
  <c r="O219" i="4"/>
  <c r="O283" i="4"/>
  <c r="O347" i="4"/>
  <c r="O411" i="4"/>
  <c r="O475" i="4"/>
  <c r="O179" i="4"/>
  <c r="O35" i="4"/>
  <c r="O99" i="4"/>
  <c r="O163" i="4"/>
  <c r="O227" i="4"/>
  <c r="O291" i="4"/>
  <c r="O355" i="4"/>
  <c r="O419" i="4"/>
  <c r="O483" i="4"/>
  <c r="O43" i="4"/>
  <c r="O107" i="4"/>
  <c r="O171" i="4"/>
  <c r="O235" i="4"/>
  <c r="O299" i="4"/>
  <c r="O363" i="4"/>
  <c r="O427" i="4"/>
  <c r="O491" i="4"/>
  <c r="O51" i="4"/>
  <c r="O115" i="4"/>
  <c r="O243" i="4"/>
  <c r="O307" i="4"/>
  <c r="O371" i="4"/>
  <c r="O499" i="4"/>
  <c r="O11" i="4"/>
  <c r="O75" i="4"/>
  <c r="O139" i="4"/>
  <c r="O203" i="4"/>
  <c r="O267" i="4"/>
  <c r="O331" i="4"/>
  <c r="O395" i="4"/>
  <c r="O459" i="4"/>
  <c r="O83" i="4"/>
  <c r="O275" i="4"/>
  <c r="O403" i="4"/>
  <c r="O19" i="4"/>
  <c r="O147" i="4"/>
  <c r="O211" i="4"/>
  <c r="O339" i="4"/>
  <c r="O467" i="4"/>
  <c r="O123" i="4"/>
  <c r="O379" i="4"/>
  <c r="O131" i="4"/>
  <c r="O387" i="4"/>
  <c r="O251" i="4"/>
  <c r="O187" i="4"/>
  <c r="O435" i="4"/>
  <c r="O195" i="4"/>
  <c r="O443" i="4"/>
  <c r="O451" i="4"/>
  <c r="O259" i="4"/>
  <c r="O59" i="4"/>
  <c r="O315" i="4"/>
  <c r="O67" i="4"/>
  <c r="O323" i="4"/>
  <c r="M440" i="4"/>
  <c r="M184" i="4"/>
  <c r="M226" i="4"/>
  <c r="M489" i="4"/>
  <c r="M425" i="4"/>
  <c r="M134" i="4"/>
  <c r="M435" i="4"/>
  <c r="M307" i="4"/>
  <c r="M243" i="4"/>
  <c r="M179" i="4"/>
  <c r="M81" i="4"/>
  <c r="M120" i="4"/>
  <c r="M122" i="4"/>
  <c r="M496" i="4"/>
  <c r="M432" i="4"/>
  <c r="M368" i="4"/>
  <c r="M240" i="4"/>
  <c r="M176" i="4"/>
  <c r="M55" i="4"/>
  <c r="M338" i="4"/>
  <c r="M481" i="4"/>
  <c r="M417" i="4"/>
  <c r="M363" i="4"/>
  <c r="M171" i="4"/>
  <c r="M112" i="4"/>
  <c r="M114" i="4"/>
  <c r="M296" i="4"/>
  <c r="M232" i="4"/>
  <c r="M358" i="4"/>
  <c r="M230" i="4"/>
  <c r="M450" i="4"/>
  <c r="M330" i="4"/>
  <c r="M473" i="4"/>
  <c r="M345" i="4"/>
  <c r="M281" i="4"/>
  <c r="M217" i="4"/>
  <c r="M102" i="4"/>
  <c r="M419" i="4"/>
  <c r="M227" i="4"/>
  <c r="M99" i="4"/>
  <c r="M40" i="4"/>
  <c r="M76" i="4"/>
  <c r="M12" i="4"/>
  <c r="M42" i="4"/>
  <c r="M384" i="4"/>
  <c r="M272" i="4"/>
  <c r="M311" i="4"/>
  <c r="M151" i="4"/>
  <c r="M378" i="4"/>
  <c r="M241" i="4"/>
  <c r="M70" i="4"/>
  <c r="M153" i="4"/>
  <c r="M96" i="4"/>
  <c r="M172" i="4"/>
  <c r="L457" i="4"/>
  <c r="Q457" i="4" s="1"/>
  <c r="L89" i="4"/>
  <c r="P89" i="4" s="1"/>
  <c r="L57" i="4"/>
  <c r="P57" i="4" s="1"/>
  <c r="L280" i="4"/>
  <c r="M464" i="4"/>
  <c r="M352" i="4"/>
  <c r="M223" i="4"/>
  <c r="M350" i="4"/>
  <c r="M433" i="4"/>
  <c r="M209" i="4"/>
  <c r="M308" i="4"/>
  <c r="M196" i="4"/>
  <c r="M275" i="4"/>
  <c r="M121" i="4"/>
  <c r="M10" i="4"/>
  <c r="L451" i="4"/>
  <c r="P451" i="4" s="1"/>
  <c r="L403" i="4"/>
  <c r="P403" i="4" s="1"/>
  <c r="M344" i="4"/>
  <c r="M256" i="4"/>
  <c r="M63" i="4"/>
  <c r="M279" i="4"/>
  <c r="M198" i="4"/>
  <c r="M482" i="4"/>
  <c r="M201" i="4"/>
  <c r="M38" i="4"/>
  <c r="M276" i="4"/>
  <c r="M467" i="4"/>
  <c r="M113" i="4"/>
  <c r="M25" i="4"/>
  <c r="M80" i="4"/>
  <c r="M132" i="4"/>
  <c r="L305" i="4"/>
  <c r="P305" i="4" s="1"/>
  <c r="L273" i="4"/>
  <c r="Q273" i="4" s="1"/>
  <c r="L177" i="4"/>
  <c r="P177" i="4" s="1"/>
  <c r="M448" i="4"/>
  <c r="M416" i="4"/>
  <c r="M31" i="4"/>
  <c r="M247" i="4"/>
  <c r="M408" i="4"/>
  <c r="M320" i="4"/>
  <c r="M400" i="4"/>
  <c r="M288" i="4"/>
  <c r="M319" i="4"/>
  <c r="M266" i="4"/>
  <c r="L326" i="4"/>
  <c r="L244" i="4"/>
  <c r="Q244" i="4" s="1"/>
  <c r="L82" i="4"/>
  <c r="P82" i="4" s="1"/>
  <c r="L105" i="4"/>
  <c r="P105" i="4" s="1"/>
  <c r="L161" i="4"/>
  <c r="Q161" i="4" s="1"/>
  <c r="M36" i="4"/>
  <c r="M27" i="4"/>
  <c r="M211" i="4"/>
  <c r="M249" i="4"/>
  <c r="M385" i="4"/>
  <c r="M159" i="4"/>
  <c r="M392" i="4"/>
  <c r="P124" i="4"/>
  <c r="Q124" i="4"/>
  <c r="P69" i="4"/>
  <c r="Q69" i="4"/>
  <c r="P261" i="4"/>
  <c r="Q261" i="4"/>
  <c r="P136" i="4"/>
  <c r="Q136" i="4"/>
  <c r="P78" i="4"/>
  <c r="Q78" i="4"/>
  <c r="P72" i="4"/>
  <c r="Q72" i="4"/>
  <c r="P86" i="4"/>
  <c r="Q86" i="4"/>
  <c r="Q157" i="4"/>
  <c r="P157" i="4"/>
  <c r="P94" i="4"/>
  <c r="Q94" i="4"/>
  <c r="P144" i="4"/>
  <c r="Q144" i="4"/>
  <c r="P335" i="4"/>
  <c r="Q335" i="4"/>
  <c r="P128" i="4"/>
  <c r="Q128" i="4"/>
  <c r="L5" i="4"/>
  <c r="G9" i="12" l="1"/>
  <c r="K9" i="12" s="1"/>
  <c r="C16" i="12"/>
  <c r="C15" i="12"/>
  <c r="J14" i="12"/>
  <c r="M9" i="12"/>
  <c r="M8" i="12"/>
  <c r="O10" i="12"/>
  <c r="F10" i="12"/>
  <c r="H10" i="12" s="1"/>
  <c r="B11" i="12"/>
  <c r="I10" i="12"/>
  <c r="J13" i="12"/>
  <c r="G7" i="11"/>
  <c r="K7" i="11" s="1"/>
  <c r="M7" i="11" s="1"/>
  <c r="N6" i="11" s="1"/>
  <c r="J15" i="11"/>
  <c r="I8" i="11"/>
  <c r="O8" i="11"/>
  <c r="F8" i="11"/>
  <c r="H8" i="11" s="1"/>
  <c r="B9" i="11"/>
  <c r="C17" i="11"/>
  <c r="J16" i="11"/>
  <c r="C18" i="11"/>
  <c r="M6" i="9"/>
  <c r="C14" i="9"/>
  <c r="C13" i="9"/>
  <c r="J13" i="9" s="1"/>
  <c r="J12" i="9"/>
  <c r="H7" i="9"/>
  <c r="G7" i="9"/>
  <c r="K7" i="9" s="1"/>
  <c r="B9" i="9"/>
  <c r="I8" i="9"/>
  <c r="F8" i="9"/>
  <c r="H8" i="9" s="1"/>
  <c r="V50" i="5"/>
  <c r="M60" i="5"/>
  <c r="K25" i="1"/>
  <c r="F82" i="7"/>
  <c r="R462" i="4"/>
  <c r="S462" i="4" s="1"/>
  <c r="R229" i="4"/>
  <c r="S229" i="4" s="1"/>
  <c r="R332" i="4"/>
  <c r="S332" i="4" s="1"/>
  <c r="P323" i="4"/>
  <c r="R323" i="4" s="1"/>
  <c r="S323" i="4" s="1"/>
  <c r="P459" i="4"/>
  <c r="R459" i="4" s="1"/>
  <c r="S459" i="4" s="1"/>
  <c r="R341" i="4"/>
  <c r="S341" i="4" s="1"/>
  <c r="P465" i="4"/>
  <c r="R465" i="4" s="1"/>
  <c r="S465" i="4" s="1"/>
  <c r="P66" i="4"/>
  <c r="R66" i="4" s="1"/>
  <c r="S66" i="4" s="1"/>
  <c r="P77" i="4"/>
  <c r="R77" i="4" s="1"/>
  <c r="S77" i="4" s="1"/>
  <c r="Q138" i="4"/>
  <c r="R138" i="4" s="1"/>
  <c r="S138" i="4" s="1"/>
  <c r="P139" i="4"/>
  <c r="R139" i="4" s="1"/>
  <c r="S139" i="4" s="1"/>
  <c r="Q411" i="4"/>
  <c r="R411" i="4" s="1"/>
  <c r="S411" i="4" s="1"/>
  <c r="L489" i="4"/>
  <c r="P489" i="4" s="1"/>
  <c r="Q100" i="4"/>
  <c r="R100" i="4" s="1"/>
  <c r="S100" i="4" s="1"/>
  <c r="R468" i="4"/>
  <c r="S468" i="4" s="1"/>
  <c r="P443" i="4"/>
  <c r="R443" i="4" s="1"/>
  <c r="S443" i="4" s="1"/>
  <c r="Q251" i="4"/>
  <c r="R251" i="4" s="1"/>
  <c r="S251" i="4" s="1"/>
  <c r="L377" i="4"/>
  <c r="P377" i="4" s="1"/>
  <c r="P257" i="4"/>
  <c r="R257" i="4" s="1"/>
  <c r="S257" i="4" s="1"/>
  <c r="Q451" i="4"/>
  <c r="R451" i="4" s="1"/>
  <c r="S451" i="4" s="1"/>
  <c r="Q177" i="4"/>
  <c r="R177" i="4" s="1"/>
  <c r="S177" i="4" s="1"/>
  <c r="R64" i="4"/>
  <c r="S64" i="4" s="1"/>
  <c r="L467" i="4"/>
  <c r="Q467" i="4" s="1"/>
  <c r="Q131" i="4"/>
  <c r="R131" i="4" s="1"/>
  <c r="S131" i="4" s="1"/>
  <c r="L38" i="4"/>
  <c r="P38" i="4" s="1"/>
  <c r="L198" i="4"/>
  <c r="Q198" i="4" s="1"/>
  <c r="L134" i="4"/>
  <c r="Q134" i="4" s="1"/>
  <c r="R252" i="4"/>
  <c r="S252" i="4" s="1"/>
  <c r="R116" i="4"/>
  <c r="S116" i="4" s="1"/>
  <c r="L63" i="4"/>
  <c r="P63" i="4" s="1"/>
  <c r="L172" i="4"/>
  <c r="P172" i="4" s="1"/>
  <c r="P68" i="4"/>
  <c r="R68" i="4" s="1"/>
  <c r="S68" i="4" s="1"/>
  <c r="P91" i="4"/>
  <c r="R91" i="4" s="1"/>
  <c r="S91" i="4" s="1"/>
  <c r="L42" i="4"/>
  <c r="P42" i="4" s="1"/>
  <c r="L152" i="4"/>
  <c r="Q152" i="4" s="1"/>
  <c r="Q219" i="4"/>
  <c r="R219" i="4" s="1"/>
  <c r="S219" i="4" s="1"/>
  <c r="L400" i="4"/>
  <c r="Q400" i="4" s="1"/>
  <c r="L296" i="4"/>
  <c r="Q296" i="4" s="1"/>
  <c r="L473" i="4"/>
  <c r="P473" i="4" s="1"/>
  <c r="L449" i="4"/>
  <c r="Q449" i="4" s="1"/>
  <c r="Q393" i="4"/>
  <c r="R393" i="4" s="1"/>
  <c r="S393" i="4" s="1"/>
  <c r="Q403" i="4"/>
  <c r="R403" i="4" s="1"/>
  <c r="S403" i="4" s="1"/>
  <c r="L433" i="4"/>
  <c r="P433" i="4" s="1"/>
  <c r="L256" i="4"/>
  <c r="Q256" i="4" s="1"/>
  <c r="R487" i="4"/>
  <c r="S487" i="4" s="1"/>
  <c r="L223" i="4"/>
  <c r="P223" i="4" s="1"/>
  <c r="Q410" i="4"/>
  <c r="R410" i="4" s="1"/>
  <c r="S410" i="4" s="1"/>
  <c r="L281" i="4"/>
  <c r="P281" i="4" s="1"/>
  <c r="R406" i="4"/>
  <c r="S406" i="4" s="1"/>
  <c r="Q146" i="4"/>
  <c r="R146" i="4" s="1"/>
  <c r="S146" i="4" s="1"/>
  <c r="Q59" i="4"/>
  <c r="R59" i="4" s="1"/>
  <c r="S59" i="4" s="1"/>
  <c r="P212" i="4"/>
  <c r="R212" i="4" s="1"/>
  <c r="S212" i="4" s="1"/>
  <c r="L31" i="4"/>
  <c r="P31" i="4" s="1"/>
  <c r="L179" i="4"/>
  <c r="P179" i="4" s="1"/>
  <c r="L440" i="4"/>
  <c r="L243" i="4"/>
  <c r="P243" i="4" s="1"/>
  <c r="L368" i="4"/>
  <c r="L450" i="4"/>
  <c r="L12" i="4"/>
  <c r="P12" i="4" s="1"/>
  <c r="P273" i="4"/>
  <c r="R273" i="4" s="1"/>
  <c r="S273" i="4" s="1"/>
  <c r="Q37" i="4"/>
  <c r="R37" i="4" s="1"/>
  <c r="S37" i="4" s="1"/>
  <c r="L272" i="4"/>
  <c r="P272" i="4" s="1"/>
  <c r="L417" i="4"/>
  <c r="L385" i="4"/>
  <c r="P97" i="4"/>
  <c r="R97" i="4" s="1"/>
  <c r="S97" i="4" s="1"/>
  <c r="Q242" i="4"/>
  <c r="R242" i="4" s="1"/>
  <c r="S242" i="4" s="1"/>
  <c r="Q337" i="4"/>
  <c r="R337" i="4" s="1"/>
  <c r="S337" i="4" s="1"/>
  <c r="P457" i="4"/>
  <c r="R457" i="4" s="1"/>
  <c r="S457" i="4" s="1"/>
  <c r="L288" i="4"/>
  <c r="L112" i="4"/>
  <c r="Q112" i="4" s="1"/>
  <c r="L185" i="4"/>
  <c r="Q185" i="4" s="1"/>
  <c r="L19" i="4"/>
  <c r="P19" i="4" s="1"/>
  <c r="Q258" i="4"/>
  <c r="R258" i="4" s="1"/>
  <c r="S258" i="4" s="1"/>
  <c r="P298" i="4"/>
  <c r="R298" i="4" s="1"/>
  <c r="S298" i="4" s="1"/>
  <c r="Q74" i="4"/>
  <c r="R74" i="4" s="1"/>
  <c r="S74" i="4" s="1"/>
  <c r="L81" i="4"/>
  <c r="Q81" i="4" s="1"/>
  <c r="L339" i="4"/>
  <c r="L40" i="4"/>
  <c r="P40" i="4" s="1"/>
  <c r="L464" i="4"/>
  <c r="L392" i="4"/>
  <c r="P392" i="4" s="1"/>
  <c r="L255" i="4"/>
  <c r="L113" i="4"/>
  <c r="Q113" i="4" s="1"/>
  <c r="R108" i="4"/>
  <c r="S108" i="4" s="1"/>
  <c r="L10" i="4"/>
  <c r="L384" i="4"/>
  <c r="Q384" i="4" s="1"/>
  <c r="L352" i="4"/>
  <c r="P352" i="4" s="1"/>
  <c r="L363" i="4"/>
  <c r="P363" i="4" s="1"/>
  <c r="P244" i="4"/>
  <c r="R244" i="4" s="1"/>
  <c r="S244" i="4" s="1"/>
  <c r="P183" i="4"/>
  <c r="R183" i="4" s="1"/>
  <c r="S183" i="4" s="1"/>
  <c r="Q315" i="4"/>
  <c r="R315" i="4" s="1"/>
  <c r="S315" i="4" s="1"/>
  <c r="L99" i="4"/>
  <c r="L70" i="4"/>
  <c r="L27" i="4"/>
  <c r="Q27" i="4" s="1"/>
  <c r="L120" i="4"/>
  <c r="P120" i="4" s="1"/>
  <c r="L217" i="4"/>
  <c r="Q217" i="4" s="1"/>
  <c r="L276" i="4"/>
  <c r="L402" i="4"/>
  <c r="P402" i="4" s="1"/>
  <c r="L279" i="4"/>
  <c r="P279" i="4" s="1"/>
  <c r="L25" i="4"/>
  <c r="L55" i="4"/>
  <c r="Q82" i="4"/>
  <c r="R82" i="4" s="1"/>
  <c r="S82" i="4" s="1"/>
  <c r="L230" i="4"/>
  <c r="L345" i="4"/>
  <c r="P345" i="4" s="1"/>
  <c r="Q442" i="4"/>
  <c r="R442" i="4" s="1"/>
  <c r="S442" i="4" s="1"/>
  <c r="Q57" i="4"/>
  <c r="R57" i="4" s="1"/>
  <c r="S57" i="4" s="1"/>
  <c r="Q305" i="4"/>
  <c r="R305" i="4" s="1"/>
  <c r="S305" i="4" s="1"/>
  <c r="Q105" i="4"/>
  <c r="R105" i="4" s="1"/>
  <c r="S105" i="4" s="1"/>
  <c r="L192" i="4"/>
  <c r="L378" i="4"/>
  <c r="L232" i="4"/>
  <c r="L209" i="4"/>
  <c r="L275" i="4"/>
  <c r="L416" i="4"/>
  <c r="R197" i="4"/>
  <c r="S197" i="4" s="1"/>
  <c r="R436" i="4"/>
  <c r="S436" i="4" s="1"/>
  <c r="L308" i="4"/>
  <c r="Q308" i="4" s="1"/>
  <c r="R415" i="4"/>
  <c r="S415" i="4" s="1"/>
  <c r="R380" i="4"/>
  <c r="S380" i="4" s="1"/>
  <c r="L435" i="4"/>
  <c r="L338" i="4"/>
  <c r="L319" i="4"/>
  <c r="P319" i="4" s="1"/>
  <c r="L241" i="4"/>
  <c r="P241" i="4" s="1"/>
  <c r="L307" i="4"/>
  <c r="L121" i="4"/>
  <c r="L226" i="4"/>
  <c r="L344" i="4"/>
  <c r="L211" i="4"/>
  <c r="Q211" i="4" s="1"/>
  <c r="L76" i="4"/>
  <c r="Q123" i="4"/>
  <c r="R123" i="4" s="1"/>
  <c r="S123" i="4" s="1"/>
  <c r="L481" i="4"/>
  <c r="L171" i="4"/>
  <c r="Q171" i="4" s="1"/>
  <c r="L266" i="4"/>
  <c r="P266" i="4" s="1"/>
  <c r="L102" i="4"/>
  <c r="L432" i="4"/>
  <c r="L153" i="4"/>
  <c r="L448" i="4"/>
  <c r="P448" i="4" s="1"/>
  <c r="L114" i="4"/>
  <c r="P114" i="4" s="1"/>
  <c r="L240" i="4"/>
  <c r="Q240" i="4" s="1"/>
  <c r="M164" i="4"/>
  <c r="L164" i="4"/>
  <c r="M127" i="4"/>
  <c r="L127" i="4"/>
  <c r="M314" i="4"/>
  <c r="L314" i="4"/>
  <c r="L180" i="4"/>
  <c r="M180" i="4"/>
  <c r="M155" i="4"/>
  <c r="L155" i="4"/>
  <c r="L88" i="4"/>
  <c r="M88" i="4"/>
  <c r="L214" i="4"/>
  <c r="M214" i="4"/>
  <c r="M141" i="4"/>
  <c r="L141" i="4"/>
  <c r="L24" i="4"/>
  <c r="M24" i="4"/>
  <c r="M369" i="4"/>
  <c r="L369" i="4"/>
  <c r="M331" i="4"/>
  <c r="L331" i="4"/>
  <c r="L196" i="4"/>
  <c r="P161" i="4"/>
  <c r="R161" i="4" s="1"/>
  <c r="S161" i="4" s="1"/>
  <c r="L122" i="4"/>
  <c r="M90" i="4"/>
  <c r="L90" i="4"/>
  <c r="M267" i="4"/>
  <c r="L267" i="4"/>
  <c r="M205" i="4"/>
  <c r="L205" i="4"/>
  <c r="M370" i="4"/>
  <c r="L370" i="4"/>
  <c r="L207" i="4"/>
  <c r="M207" i="4"/>
  <c r="M41" i="4"/>
  <c r="L41" i="4"/>
  <c r="L316" i="4"/>
  <c r="M316" i="4"/>
  <c r="L454" i="4"/>
  <c r="M454" i="4"/>
  <c r="M140" i="4"/>
  <c r="L140" i="4"/>
  <c r="M163" i="4"/>
  <c r="L163" i="4"/>
  <c r="L284" i="4"/>
  <c r="M284" i="4"/>
  <c r="L301" i="4"/>
  <c r="M301" i="4"/>
  <c r="M409" i="4"/>
  <c r="L409" i="4"/>
  <c r="L494" i="4"/>
  <c r="M494" i="4"/>
  <c r="M424" i="4"/>
  <c r="L424" i="4"/>
  <c r="L299" i="4"/>
  <c r="M299" i="4"/>
  <c r="L420" i="4"/>
  <c r="M420" i="4"/>
  <c r="L437" i="4"/>
  <c r="M437" i="4"/>
  <c r="M218" i="4"/>
  <c r="L218" i="4"/>
  <c r="L502" i="4"/>
  <c r="M502" i="4"/>
  <c r="L287" i="4"/>
  <c r="M287" i="4"/>
  <c r="M17" i="4"/>
  <c r="L17" i="4"/>
  <c r="M371" i="4"/>
  <c r="L371" i="4"/>
  <c r="L492" i="4"/>
  <c r="M492" i="4"/>
  <c r="M22" i="4"/>
  <c r="L22" i="4"/>
  <c r="L354" i="4"/>
  <c r="M354" i="4"/>
  <c r="L135" i="4"/>
  <c r="M135" i="4"/>
  <c r="L439" i="4"/>
  <c r="M439" i="4"/>
  <c r="M190" i="4"/>
  <c r="L190" i="4"/>
  <c r="L452" i="4"/>
  <c r="M452" i="4"/>
  <c r="M162" i="4"/>
  <c r="L162" i="4"/>
  <c r="L350" i="4"/>
  <c r="L79" i="4"/>
  <c r="M79" i="4"/>
  <c r="M265" i="4"/>
  <c r="L265" i="4"/>
  <c r="P477" i="4"/>
  <c r="Q477" i="4"/>
  <c r="R372" i="4"/>
  <c r="S372" i="4" s="1"/>
  <c r="R397" i="4"/>
  <c r="S397" i="4" s="1"/>
  <c r="L320" i="4"/>
  <c r="M166" i="4"/>
  <c r="L166" i="4"/>
  <c r="L485" i="4"/>
  <c r="M485" i="4"/>
  <c r="Q357" i="4"/>
  <c r="P357" i="4"/>
  <c r="L184" i="4"/>
  <c r="L36" i="4"/>
  <c r="L62" i="4"/>
  <c r="M62" i="4"/>
  <c r="L475" i="4"/>
  <c r="M475" i="4"/>
  <c r="M6" i="4"/>
  <c r="L6" i="4"/>
  <c r="L170" i="4"/>
  <c r="M170" i="4"/>
  <c r="L54" i="4"/>
  <c r="M54" i="4"/>
  <c r="L71" i="4"/>
  <c r="M71" i="4"/>
  <c r="M318" i="4"/>
  <c r="L318" i="4"/>
  <c r="M44" i="4"/>
  <c r="L44" i="4"/>
  <c r="L290" i="4"/>
  <c r="M290" i="4"/>
  <c r="L285" i="4"/>
  <c r="M285" i="4"/>
  <c r="P280" i="4"/>
  <c r="Q280" i="4"/>
  <c r="L83" i="4"/>
  <c r="M83" i="4"/>
  <c r="M441" i="4"/>
  <c r="L441" i="4"/>
  <c r="M104" i="4"/>
  <c r="L104" i="4"/>
  <c r="L429" i="4"/>
  <c r="M429" i="4"/>
  <c r="L407" i="4"/>
  <c r="M407" i="4"/>
  <c r="M427" i="4"/>
  <c r="L427" i="4"/>
  <c r="L210" i="4"/>
  <c r="M210" i="4"/>
  <c r="L125" i="4"/>
  <c r="M125" i="4"/>
  <c r="L362" i="4"/>
  <c r="M362" i="4"/>
  <c r="L399" i="4"/>
  <c r="M399" i="4"/>
  <c r="M208" i="4"/>
  <c r="L208" i="4"/>
  <c r="L375" i="4"/>
  <c r="M375" i="4"/>
  <c r="M187" i="4"/>
  <c r="L187" i="4"/>
  <c r="L101" i="4"/>
  <c r="M101" i="4"/>
  <c r="M186" i="4"/>
  <c r="L186" i="4"/>
  <c r="M18" i="4"/>
  <c r="L18" i="4"/>
  <c r="L195" i="4"/>
  <c r="M195" i="4"/>
  <c r="L133" i="4"/>
  <c r="M133" i="4"/>
  <c r="M194" i="4"/>
  <c r="L194" i="4"/>
  <c r="L142" i="4"/>
  <c r="M142" i="4"/>
  <c r="L480" i="4"/>
  <c r="M480" i="4"/>
  <c r="M168" i="4"/>
  <c r="L168" i="4"/>
  <c r="L355" i="4"/>
  <c r="M355" i="4"/>
  <c r="L476" i="4"/>
  <c r="M476" i="4"/>
  <c r="L493" i="4"/>
  <c r="M493" i="4"/>
  <c r="L322" i="4"/>
  <c r="M322" i="4"/>
  <c r="L199" i="4"/>
  <c r="M199" i="4"/>
  <c r="L7" i="4"/>
  <c r="M7" i="4"/>
  <c r="L137" i="4"/>
  <c r="M137" i="4"/>
  <c r="L491" i="4"/>
  <c r="M491" i="4"/>
  <c r="L117" i="4"/>
  <c r="M117" i="4"/>
  <c r="M225" i="4"/>
  <c r="L225" i="4"/>
  <c r="M346" i="4"/>
  <c r="L346" i="4"/>
  <c r="L343" i="4"/>
  <c r="M343" i="4"/>
  <c r="L28" i="4"/>
  <c r="M28" i="4"/>
  <c r="M51" i="4"/>
  <c r="L51" i="4"/>
  <c r="L189" i="4"/>
  <c r="M189" i="4"/>
  <c r="M297" i="4"/>
  <c r="L297" i="4"/>
  <c r="L466" i="4"/>
  <c r="M466" i="4"/>
  <c r="L495" i="4"/>
  <c r="M495" i="4"/>
  <c r="M248" i="4"/>
  <c r="L248" i="4"/>
  <c r="L419" i="4"/>
  <c r="M282" i="4"/>
  <c r="L282" i="4"/>
  <c r="Q326" i="4"/>
  <c r="P326" i="4"/>
  <c r="M490" i="4"/>
  <c r="L490" i="4"/>
  <c r="L334" i="4"/>
  <c r="M334" i="4"/>
  <c r="L478" i="4"/>
  <c r="M478" i="4"/>
  <c r="M379" i="4"/>
  <c r="L379" i="4"/>
  <c r="L391" i="4"/>
  <c r="M391" i="4"/>
  <c r="M49" i="4"/>
  <c r="L49" i="4"/>
  <c r="L95" i="4"/>
  <c r="M291" i="4"/>
  <c r="L291" i="4"/>
  <c r="M202" i="4"/>
  <c r="L202" i="4"/>
  <c r="L73" i="4"/>
  <c r="M73" i="4"/>
  <c r="M126" i="4"/>
  <c r="L126" i="4"/>
  <c r="L15" i="4"/>
  <c r="M15" i="4"/>
  <c r="M499" i="4"/>
  <c r="L499" i="4"/>
  <c r="Q89" i="4"/>
  <c r="R89" i="4" s="1"/>
  <c r="S89" i="4" s="1"/>
  <c r="P259" i="4"/>
  <c r="R259" i="4" s="1"/>
  <c r="S259" i="4" s="1"/>
  <c r="L294" i="4"/>
  <c r="M294" i="4"/>
  <c r="L460" i="4"/>
  <c r="M460" i="4"/>
  <c r="L222" i="4"/>
  <c r="M222" i="4"/>
  <c r="M216" i="4"/>
  <c r="L216" i="4"/>
  <c r="L39" i="4"/>
  <c r="M39" i="4"/>
  <c r="L496" i="4"/>
  <c r="M130" i="4"/>
  <c r="L130" i="4"/>
  <c r="M283" i="4"/>
  <c r="L283" i="4"/>
  <c r="L221" i="4"/>
  <c r="M221" i="4"/>
  <c r="L394" i="4"/>
  <c r="M394" i="4"/>
  <c r="L414" i="4"/>
  <c r="M414" i="4"/>
  <c r="M65" i="4"/>
  <c r="L65" i="4"/>
  <c r="M45" i="4"/>
  <c r="L45" i="4"/>
  <c r="L110" i="4"/>
  <c r="M110" i="4"/>
  <c r="L178" i="4"/>
  <c r="M178" i="4"/>
  <c r="L327" i="4"/>
  <c r="M327" i="4"/>
  <c r="L8" i="4"/>
  <c r="M20" i="4"/>
  <c r="L20" i="4"/>
  <c r="L43" i="4"/>
  <c r="M43" i="4"/>
  <c r="L118" i="4"/>
  <c r="M118" i="4"/>
  <c r="L181" i="4"/>
  <c r="M181" i="4"/>
  <c r="L289" i="4"/>
  <c r="M289" i="4"/>
  <c r="M458" i="4"/>
  <c r="L458" i="4"/>
  <c r="L479" i="4"/>
  <c r="M479" i="4"/>
  <c r="L92" i="4"/>
  <c r="M92" i="4"/>
  <c r="L115" i="4"/>
  <c r="M115" i="4"/>
  <c r="L236" i="4"/>
  <c r="M236" i="4"/>
  <c r="L253" i="4"/>
  <c r="M253" i="4"/>
  <c r="M361" i="4"/>
  <c r="L361" i="4"/>
  <c r="L158" i="4"/>
  <c r="M158" i="4"/>
  <c r="L270" i="4"/>
  <c r="M270" i="4"/>
  <c r="M312" i="4"/>
  <c r="L312" i="4"/>
  <c r="Q497" i="4"/>
  <c r="P497" i="4"/>
  <c r="L182" i="4"/>
  <c r="M182" i="4"/>
  <c r="L444" i="4"/>
  <c r="M444" i="4"/>
  <c r="M154" i="4"/>
  <c r="L154" i="4"/>
  <c r="L311" i="4"/>
  <c r="L413" i="4"/>
  <c r="M413" i="4"/>
  <c r="L30" i="4"/>
  <c r="M30" i="4"/>
  <c r="L93" i="4"/>
  <c r="M93" i="4"/>
  <c r="M264" i="4"/>
  <c r="L264" i="4"/>
  <c r="L293" i="4"/>
  <c r="M293" i="4"/>
  <c r="L430" i="4"/>
  <c r="M430" i="4"/>
  <c r="L21" i="4"/>
  <c r="M21" i="4"/>
  <c r="L472" i="4"/>
  <c r="M472" i="4"/>
  <c r="L412" i="4"/>
  <c r="M412" i="4"/>
  <c r="L111" i="4"/>
  <c r="M111" i="4"/>
  <c r="M50" i="4"/>
  <c r="L50" i="4"/>
  <c r="L53" i="4"/>
  <c r="M53" i="4"/>
  <c r="M215" i="4"/>
  <c r="L215" i="4"/>
  <c r="M145" i="4"/>
  <c r="L145" i="4"/>
  <c r="L233" i="4"/>
  <c r="M233" i="4"/>
  <c r="L367" i="4"/>
  <c r="M367" i="4"/>
  <c r="L434" i="4"/>
  <c r="M434" i="4"/>
  <c r="L324" i="4"/>
  <c r="M324" i="4"/>
  <c r="L34" i="4"/>
  <c r="M34" i="4"/>
  <c r="L358" i="4"/>
  <c r="L446" i="4"/>
  <c r="M446" i="4"/>
  <c r="L328" i="4"/>
  <c r="M328" i="4"/>
  <c r="M224" i="4"/>
  <c r="L224" i="4"/>
  <c r="L388" i="4"/>
  <c r="M388" i="4"/>
  <c r="M313" i="4"/>
  <c r="L313" i="4"/>
  <c r="L103" i="4"/>
  <c r="M103" i="4"/>
  <c r="M456" i="4"/>
  <c r="L456" i="4"/>
  <c r="M52" i="4"/>
  <c r="L52" i="4"/>
  <c r="M387" i="4"/>
  <c r="L387" i="4"/>
  <c r="L325" i="4"/>
  <c r="M325" i="4"/>
  <c r="M306" i="4"/>
  <c r="L306" i="4"/>
  <c r="L455" i="4"/>
  <c r="M455" i="4"/>
  <c r="L176" i="4"/>
  <c r="L461" i="4"/>
  <c r="M461" i="4"/>
  <c r="L408" i="4"/>
  <c r="L149" i="4"/>
  <c r="M149" i="4"/>
  <c r="M32" i="4"/>
  <c r="L32" i="4"/>
  <c r="L175" i="4"/>
  <c r="M175" i="4"/>
  <c r="L359" i="4"/>
  <c r="M359" i="4"/>
  <c r="L191" i="4"/>
  <c r="M191" i="4"/>
  <c r="M67" i="4"/>
  <c r="L67" i="4"/>
  <c r="L500" i="4"/>
  <c r="M500" i="4"/>
  <c r="M401" i="4"/>
  <c r="L401" i="4"/>
  <c r="M98" i="4"/>
  <c r="L98" i="4"/>
  <c r="L213" i="4"/>
  <c r="M213" i="4"/>
  <c r="M386" i="4"/>
  <c r="L386" i="4"/>
  <c r="L404" i="4"/>
  <c r="M404" i="4"/>
  <c r="M329" i="4"/>
  <c r="L329" i="4"/>
  <c r="L348" i="4"/>
  <c r="M348" i="4"/>
  <c r="L365" i="4"/>
  <c r="M365" i="4"/>
  <c r="L486" i="4"/>
  <c r="M486" i="4"/>
  <c r="L271" i="4"/>
  <c r="M271" i="4"/>
  <c r="L488" i="4"/>
  <c r="M488" i="4"/>
  <c r="M9" i="4"/>
  <c r="L9" i="4"/>
  <c r="L484" i="4"/>
  <c r="M484" i="4"/>
  <c r="L501" i="4"/>
  <c r="M501" i="4"/>
  <c r="L119" i="4"/>
  <c r="M119" i="4"/>
  <c r="L423" i="4"/>
  <c r="M423" i="4"/>
  <c r="M58" i="4"/>
  <c r="L58" i="4"/>
  <c r="L61" i="4"/>
  <c r="M61" i="4"/>
  <c r="M169" i="4"/>
  <c r="L169" i="4"/>
  <c r="L231" i="4"/>
  <c r="M231" i="4"/>
  <c r="L23" i="4"/>
  <c r="M23" i="4"/>
  <c r="L286" i="4"/>
  <c r="M286" i="4"/>
  <c r="M277" i="4"/>
  <c r="L277" i="4"/>
  <c r="M160" i="4"/>
  <c r="L160" i="4"/>
  <c r="L201" i="4"/>
  <c r="M274" i="4"/>
  <c r="L274" i="4"/>
  <c r="L260" i="4"/>
  <c r="M260" i="4"/>
  <c r="L96" i="4"/>
  <c r="L80" i="4"/>
  <c r="L174" i="4"/>
  <c r="M174" i="4"/>
  <c r="Q389" i="4"/>
  <c r="P389" i="4"/>
  <c r="L268" i="4"/>
  <c r="M268" i="4"/>
  <c r="M26" i="4"/>
  <c r="L26" i="4"/>
  <c r="L482" i="4"/>
  <c r="L147" i="4"/>
  <c r="M147" i="4"/>
  <c r="L330" i="4"/>
  <c r="L247" i="4"/>
  <c r="L349" i="4"/>
  <c r="M349" i="4"/>
  <c r="M347" i="4"/>
  <c r="L347" i="4"/>
  <c r="L426" i="4"/>
  <c r="M426" i="4"/>
  <c r="M336" i="4"/>
  <c r="L336" i="4"/>
  <c r="L405" i="4"/>
  <c r="M405" i="4"/>
  <c r="L33" i="4"/>
  <c r="M33" i="4"/>
  <c r="L438" i="4"/>
  <c r="M438" i="4"/>
  <c r="L249" i="4"/>
  <c r="L60" i="4"/>
  <c r="M60" i="4"/>
  <c r="L395" i="4"/>
  <c r="M395" i="4"/>
  <c r="L333" i="4"/>
  <c r="M333" i="4"/>
  <c r="L239" i="4"/>
  <c r="M239" i="4"/>
  <c r="L106" i="4"/>
  <c r="M106" i="4"/>
  <c r="M129" i="4"/>
  <c r="L129" i="4"/>
  <c r="M483" i="4"/>
  <c r="L483" i="4"/>
  <c r="M109" i="4"/>
  <c r="L109" i="4"/>
  <c r="L463" i="4"/>
  <c r="M463" i="4"/>
  <c r="M84" i="4"/>
  <c r="L84" i="4"/>
  <c r="M107" i="4"/>
  <c r="L107" i="4"/>
  <c r="L228" i="4"/>
  <c r="M228" i="4"/>
  <c r="L245" i="4"/>
  <c r="M245" i="4"/>
  <c r="M353" i="4"/>
  <c r="L353" i="4"/>
  <c r="L150" i="4"/>
  <c r="M150" i="4"/>
  <c r="M254" i="4"/>
  <c r="L254" i="4"/>
  <c r="L304" i="4"/>
  <c r="M304" i="4"/>
  <c r="L156" i="4"/>
  <c r="M156" i="4"/>
  <c r="L300" i="4"/>
  <c r="M300" i="4"/>
  <c r="L317" i="4"/>
  <c r="M317" i="4"/>
  <c r="L262" i="4"/>
  <c r="M262" i="4"/>
  <c r="L398" i="4"/>
  <c r="M398" i="4"/>
  <c r="L376" i="4"/>
  <c r="M376" i="4"/>
  <c r="M250" i="4"/>
  <c r="L250" i="4"/>
  <c r="L46" i="4"/>
  <c r="M46" i="4"/>
  <c r="L453" i="4"/>
  <c r="M453" i="4"/>
  <c r="L11" i="4"/>
  <c r="M11" i="4"/>
  <c r="L132" i="4"/>
  <c r="L383" i="4"/>
  <c r="M383" i="4"/>
  <c r="L165" i="4"/>
  <c r="M165" i="4"/>
  <c r="L159" i="4"/>
  <c r="M418" i="4"/>
  <c r="L418" i="4"/>
  <c r="L503" i="4"/>
  <c r="M503" i="4"/>
  <c r="L431" i="4"/>
  <c r="M431" i="4"/>
  <c r="L263" i="4"/>
  <c r="M263" i="4"/>
  <c r="L188" i="4"/>
  <c r="M188" i="4"/>
  <c r="L396" i="4"/>
  <c r="M396" i="4"/>
  <c r="M321" i="4"/>
  <c r="L321" i="4"/>
  <c r="L143" i="4"/>
  <c r="M143" i="4"/>
  <c r="L14" i="4"/>
  <c r="M14" i="4"/>
  <c r="L421" i="4"/>
  <c r="M421" i="4"/>
  <c r="L498" i="4"/>
  <c r="M498" i="4"/>
  <c r="L471" i="4"/>
  <c r="M471" i="4"/>
  <c r="M35" i="4"/>
  <c r="L35" i="4"/>
  <c r="L173" i="4"/>
  <c r="M173" i="4"/>
  <c r="L238" i="4"/>
  <c r="M238" i="4"/>
  <c r="M148" i="4"/>
  <c r="L148" i="4"/>
  <c r="M292" i="4"/>
  <c r="L292" i="4"/>
  <c r="L309" i="4"/>
  <c r="M309" i="4"/>
  <c r="L246" i="4"/>
  <c r="M246" i="4"/>
  <c r="L382" i="4"/>
  <c r="M382" i="4"/>
  <c r="L56" i="4"/>
  <c r="M56" i="4"/>
  <c r="L364" i="4"/>
  <c r="M364" i="4"/>
  <c r="L381" i="4"/>
  <c r="M381" i="4"/>
  <c r="L390" i="4"/>
  <c r="M390" i="4"/>
  <c r="L167" i="4"/>
  <c r="M167" i="4"/>
  <c r="L425" i="4"/>
  <c r="L206" i="4"/>
  <c r="M206" i="4"/>
  <c r="L269" i="4"/>
  <c r="M269" i="4"/>
  <c r="L342" i="4"/>
  <c r="M342" i="4"/>
  <c r="L29" i="4"/>
  <c r="M29" i="4"/>
  <c r="L469" i="4"/>
  <c r="M469" i="4"/>
  <c r="L227" i="4"/>
  <c r="L310" i="4"/>
  <c r="M310" i="4"/>
  <c r="L200" i="4"/>
  <c r="M200" i="4"/>
  <c r="L302" i="4"/>
  <c r="M302" i="4"/>
  <c r="L447" i="4"/>
  <c r="M447" i="4"/>
  <c r="L422" i="4"/>
  <c r="M422" i="4"/>
  <c r="L75" i="4"/>
  <c r="M75" i="4"/>
  <c r="M13" i="4"/>
  <c r="L13" i="4"/>
  <c r="L295" i="4"/>
  <c r="M295" i="4"/>
  <c r="L204" i="4"/>
  <c r="M204" i="4"/>
  <c r="L278" i="4"/>
  <c r="M278" i="4"/>
  <c r="L351" i="4"/>
  <c r="M351" i="4"/>
  <c r="L220" i="4"/>
  <c r="M220" i="4"/>
  <c r="M237" i="4"/>
  <c r="L237" i="4"/>
  <c r="L366" i="4"/>
  <c r="M366" i="4"/>
  <c r="L360" i="4"/>
  <c r="M360" i="4"/>
  <c r="M48" i="4"/>
  <c r="L48" i="4"/>
  <c r="M235" i="4"/>
  <c r="L235" i="4"/>
  <c r="L356" i="4"/>
  <c r="M356" i="4"/>
  <c r="L373" i="4"/>
  <c r="M373" i="4"/>
  <c r="L374" i="4"/>
  <c r="M374" i="4"/>
  <c r="L428" i="4"/>
  <c r="M428" i="4"/>
  <c r="L445" i="4"/>
  <c r="M445" i="4"/>
  <c r="M234" i="4"/>
  <c r="L234" i="4"/>
  <c r="L47" i="4"/>
  <c r="M47" i="4"/>
  <c r="L303" i="4"/>
  <c r="M303" i="4"/>
  <c r="M504" i="4"/>
  <c r="L504" i="4"/>
  <c r="L193" i="4"/>
  <c r="M193" i="4"/>
  <c r="L203" i="4"/>
  <c r="M203" i="4"/>
  <c r="L87" i="4"/>
  <c r="M87" i="4"/>
  <c r="L85" i="4"/>
  <c r="M85" i="4"/>
  <c r="M16" i="4"/>
  <c r="L16" i="4"/>
  <c r="L151" i="4"/>
  <c r="Q470" i="4"/>
  <c r="P470" i="4"/>
  <c r="M474" i="4"/>
  <c r="L474" i="4"/>
  <c r="L340" i="4"/>
  <c r="M340" i="4"/>
  <c r="P5" i="4"/>
  <c r="Q5" i="4"/>
  <c r="R124" i="4"/>
  <c r="S124" i="4" s="1"/>
  <c r="R136" i="4"/>
  <c r="S136" i="4" s="1"/>
  <c r="R69" i="4"/>
  <c r="S69" i="4" s="1"/>
  <c r="R157" i="4"/>
  <c r="S157" i="4" s="1"/>
  <c r="R261" i="4"/>
  <c r="S261" i="4" s="1"/>
  <c r="R72" i="4"/>
  <c r="S72" i="4" s="1"/>
  <c r="R128" i="4"/>
  <c r="S128" i="4" s="1"/>
  <c r="R144" i="4"/>
  <c r="S144" i="4" s="1"/>
  <c r="R78" i="4"/>
  <c r="S78" i="4" s="1"/>
  <c r="R335" i="4"/>
  <c r="S335" i="4" s="1"/>
  <c r="R86" i="4"/>
  <c r="S86" i="4" s="1"/>
  <c r="R94" i="4"/>
  <c r="S94" i="4" s="1"/>
  <c r="N8" i="12" l="1"/>
  <c r="G10" i="12"/>
  <c r="K10" i="12" s="1"/>
  <c r="M10" i="12" s="1"/>
  <c r="J15" i="12"/>
  <c r="I11" i="12"/>
  <c r="B12" i="12"/>
  <c r="F11" i="12"/>
  <c r="H11" i="12" s="1"/>
  <c r="C17" i="12"/>
  <c r="C18" i="12"/>
  <c r="J16" i="12"/>
  <c r="I9" i="11"/>
  <c r="F9" i="11"/>
  <c r="H9" i="11" s="1"/>
  <c r="B10" i="11"/>
  <c r="C20" i="11"/>
  <c r="C19" i="11"/>
  <c r="J18" i="11"/>
  <c r="J17" i="11"/>
  <c r="G8" i="11"/>
  <c r="K8" i="11" s="1"/>
  <c r="M8" i="11" s="1"/>
  <c r="J14" i="9"/>
  <c r="C16" i="9"/>
  <c r="C15" i="9"/>
  <c r="J15" i="9" s="1"/>
  <c r="M7" i="9"/>
  <c r="N6" i="9" s="1"/>
  <c r="G8" i="9"/>
  <c r="K8" i="9" s="1"/>
  <c r="M8" i="9" s="1"/>
  <c r="B10" i="9"/>
  <c r="O10" i="9" s="1"/>
  <c r="I9" i="9"/>
  <c r="F9" i="9"/>
  <c r="H9" i="9" s="1"/>
  <c r="V51" i="5"/>
  <c r="M61" i="5"/>
  <c r="Q377" i="4"/>
  <c r="R377" i="4" s="1"/>
  <c r="S377" i="4" s="1"/>
  <c r="Q489" i="4"/>
  <c r="R489" i="4" s="1"/>
  <c r="S489" i="4" s="1"/>
  <c r="P134" i="4"/>
  <c r="R134" i="4" s="1"/>
  <c r="S134" i="4" s="1"/>
  <c r="R470" i="4"/>
  <c r="S470" i="4" s="1"/>
  <c r="P467" i="4"/>
  <c r="R467" i="4" s="1"/>
  <c r="S467" i="4" s="1"/>
  <c r="P198" i="4"/>
  <c r="R198" i="4" s="1"/>
  <c r="S198" i="4" s="1"/>
  <c r="Q38" i="4"/>
  <c r="R38" i="4" s="1"/>
  <c r="S38" i="4" s="1"/>
  <c r="P152" i="4"/>
  <c r="R152" i="4" s="1"/>
  <c r="S152" i="4" s="1"/>
  <c r="Q433" i="4"/>
  <c r="R433" i="4" s="1"/>
  <c r="S433" i="4" s="1"/>
  <c r="R477" i="4"/>
  <c r="S477" i="4" s="1"/>
  <c r="Q63" i="4"/>
  <c r="R63" i="4" s="1"/>
  <c r="S63" i="4" s="1"/>
  <c r="P185" i="4"/>
  <c r="R185" i="4" s="1"/>
  <c r="S185" i="4" s="1"/>
  <c r="P113" i="4"/>
  <c r="R113" i="4" s="1"/>
  <c r="S113" i="4" s="1"/>
  <c r="Q241" i="4"/>
  <c r="R241" i="4" s="1"/>
  <c r="S241" i="4" s="1"/>
  <c r="Q179" i="4"/>
  <c r="R179" i="4" s="1"/>
  <c r="S179" i="4" s="1"/>
  <c r="Q392" i="4"/>
  <c r="R392" i="4" s="1"/>
  <c r="S392" i="4" s="1"/>
  <c r="Q266" i="4"/>
  <c r="R266" i="4" s="1"/>
  <c r="S266" i="4" s="1"/>
  <c r="Q172" i="4"/>
  <c r="R172" i="4" s="1"/>
  <c r="S172" i="4" s="1"/>
  <c r="P449" i="4"/>
  <c r="R449" i="4" s="1"/>
  <c r="S449" i="4" s="1"/>
  <c r="Q272" i="4"/>
  <c r="R272" i="4" s="1"/>
  <c r="S272" i="4" s="1"/>
  <c r="Q42" i="4"/>
  <c r="R42" i="4" s="1"/>
  <c r="S42" i="4" s="1"/>
  <c r="P400" i="4"/>
  <c r="R400" i="4" s="1"/>
  <c r="S400" i="4" s="1"/>
  <c r="P256" i="4"/>
  <c r="R256" i="4" s="1"/>
  <c r="S256" i="4" s="1"/>
  <c r="P171" i="4"/>
  <c r="R171" i="4" s="1"/>
  <c r="S171" i="4" s="1"/>
  <c r="Q473" i="4"/>
  <c r="R473" i="4" s="1"/>
  <c r="S473" i="4" s="1"/>
  <c r="P296" i="4"/>
  <c r="R296" i="4" s="1"/>
  <c r="S296" i="4" s="1"/>
  <c r="Q31" i="4"/>
  <c r="R31" i="4" s="1"/>
  <c r="S31" i="4" s="1"/>
  <c r="Q223" i="4"/>
  <c r="R223" i="4" s="1"/>
  <c r="S223" i="4" s="1"/>
  <c r="P211" i="4"/>
  <c r="R211" i="4" s="1"/>
  <c r="S211" i="4" s="1"/>
  <c r="Q40" i="4"/>
  <c r="R40" i="4" s="1"/>
  <c r="S40" i="4" s="1"/>
  <c r="R357" i="4"/>
  <c r="S357" i="4" s="1"/>
  <c r="P308" i="4"/>
  <c r="R308" i="4" s="1"/>
  <c r="S308" i="4" s="1"/>
  <c r="Q281" i="4"/>
  <c r="R281" i="4" s="1"/>
  <c r="S281" i="4" s="1"/>
  <c r="P417" i="4"/>
  <c r="Q417" i="4"/>
  <c r="Q368" i="4"/>
  <c r="P368" i="4"/>
  <c r="Q279" i="4"/>
  <c r="R279" i="4" s="1"/>
  <c r="S279" i="4" s="1"/>
  <c r="Q12" i="4"/>
  <c r="R12" i="4" s="1"/>
  <c r="S12" i="4" s="1"/>
  <c r="Q19" i="4"/>
  <c r="R19" i="4" s="1"/>
  <c r="S19" i="4" s="1"/>
  <c r="P440" i="4"/>
  <c r="Q440" i="4"/>
  <c r="Q450" i="4"/>
  <c r="P450" i="4"/>
  <c r="P112" i="4"/>
  <c r="R112" i="4" s="1"/>
  <c r="S112" i="4" s="1"/>
  <c r="P384" i="4"/>
  <c r="R384" i="4" s="1"/>
  <c r="S384" i="4" s="1"/>
  <c r="Q243" i="4"/>
  <c r="R243" i="4" s="1"/>
  <c r="S243" i="4" s="1"/>
  <c r="R326" i="4"/>
  <c r="S326" i="4" s="1"/>
  <c r="Q352" i="4"/>
  <c r="R352" i="4" s="1"/>
  <c r="S352" i="4" s="1"/>
  <c r="P81" i="4"/>
  <c r="R81" i="4" s="1"/>
  <c r="S81" i="4" s="1"/>
  <c r="Q339" i="4"/>
  <c r="P339" i="4"/>
  <c r="Q288" i="4"/>
  <c r="P288" i="4"/>
  <c r="P240" i="4"/>
  <c r="R240" i="4" s="1"/>
  <c r="S240" i="4" s="1"/>
  <c r="P217" i="4"/>
  <c r="R217" i="4" s="1"/>
  <c r="S217" i="4" s="1"/>
  <c r="P464" i="4"/>
  <c r="Q464" i="4"/>
  <c r="P255" i="4"/>
  <c r="Q255" i="4"/>
  <c r="Q120" i="4"/>
  <c r="R120" i="4" s="1"/>
  <c r="S120" i="4" s="1"/>
  <c r="P10" i="4"/>
  <c r="Q10" i="4"/>
  <c r="Q114" i="4"/>
  <c r="R114" i="4" s="1"/>
  <c r="S114" i="4" s="1"/>
  <c r="R497" i="4"/>
  <c r="S497" i="4" s="1"/>
  <c r="R280" i="4"/>
  <c r="S280" i="4" s="1"/>
  <c r="Q363" i="4"/>
  <c r="R363" i="4" s="1"/>
  <c r="S363" i="4" s="1"/>
  <c r="P385" i="4"/>
  <c r="Q385" i="4"/>
  <c r="Q226" i="4"/>
  <c r="P226" i="4"/>
  <c r="Q209" i="4"/>
  <c r="P209" i="4"/>
  <c r="P27" i="4"/>
  <c r="R27" i="4" s="1"/>
  <c r="S27" i="4" s="1"/>
  <c r="P153" i="4"/>
  <c r="Q153" i="4"/>
  <c r="Q121" i="4"/>
  <c r="P121" i="4"/>
  <c r="Q232" i="4"/>
  <c r="P232" i="4"/>
  <c r="P55" i="4"/>
  <c r="Q55" i="4"/>
  <c r="Q432" i="4"/>
  <c r="P432" i="4"/>
  <c r="Q307" i="4"/>
  <c r="P307" i="4"/>
  <c r="P378" i="4"/>
  <c r="Q378" i="4"/>
  <c r="Q25" i="4"/>
  <c r="P25" i="4"/>
  <c r="Q70" i="4"/>
  <c r="P70" i="4"/>
  <c r="Q102" i="4"/>
  <c r="P102" i="4"/>
  <c r="P192" i="4"/>
  <c r="Q192" i="4"/>
  <c r="P99" i="4"/>
  <c r="Q99" i="4"/>
  <c r="P76" i="4"/>
  <c r="Q76" i="4"/>
  <c r="Q402" i="4"/>
  <c r="R402" i="4" s="1"/>
  <c r="S402" i="4" s="1"/>
  <c r="P338" i="4"/>
  <c r="Q338" i="4"/>
  <c r="Q230" i="4"/>
  <c r="P230" i="4"/>
  <c r="Q276" i="4"/>
  <c r="P276" i="4"/>
  <c r="Q448" i="4"/>
  <c r="R448" i="4" s="1"/>
  <c r="S448" i="4" s="1"/>
  <c r="Q345" i="4"/>
  <c r="R345" i="4" s="1"/>
  <c r="S345" i="4" s="1"/>
  <c r="Q481" i="4"/>
  <c r="P481" i="4"/>
  <c r="P435" i="4"/>
  <c r="Q435" i="4"/>
  <c r="P416" i="4"/>
  <c r="Q416" i="4"/>
  <c r="R389" i="4"/>
  <c r="S389" i="4" s="1"/>
  <c r="Q319" i="4"/>
  <c r="R319" i="4" s="1"/>
  <c r="S319" i="4" s="1"/>
  <c r="P344" i="4"/>
  <c r="Q344" i="4"/>
  <c r="Q275" i="4"/>
  <c r="P275" i="4"/>
  <c r="P351" i="4"/>
  <c r="Q351" i="4"/>
  <c r="P364" i="4"/>
  <c r="Q364" i="4"/>
  <c r="P503" i="4"/>
  <c r="Q503" i="4"/>
  <c r="Q239" i="4"/>
  <c r="P239" i="4"/>
  <c r="Q58" i="4"/>
  <c r="P58" i="4"/>
  <c r="Q358" i="4"/>
  <c r="P358" i="4"/>
  <c r="P430" i="4"/>
  <c r="Q430" i="4"/>
  <c r="Q283" i="4"/>
  <c r="P283" i="4"/>
  <c r="P407" i="4"/>
  <c r="Q407" i="4"/>
  <c r="Q350" i="4"/>
  <c r="P350" i="4"/>
  <c r="P439" i="4"/>
  <c r="Q439" i="4"/>
  <c r="P492" i="4"/>
  <c r="Q492" i="4"/>
  <c r="Q502" i="4"/>
  <c r="P502" i="4"/>
  <c r="P299" i="4"/>
  <c r="Q299" i="4"/>
  <c r="Q301" i="4"/>
  <c r="P301" i="4"/>
  <c r="Q454" i="4"/>
  <c r="P454" i="4"/>
  <c r="P504" i="4"/>
  <c r="Q504" i="4"/>
  <c r="P29" i="4"/>
  <c r="Q29" i="4"/>
  <c r="Q35" i="4"/>
  <c r="P35" i="4"/>
  <c r="Q107" i="4"/>
  <c r="P107" i="4"/>
  <c r="P483" i="4"/>
  <c r="Q483" i="4"/>
  <c r="Q438" i="4"/>
  <c r="P438" i="4"/>
  <c r="P426" i="4"/>
  <c r="Q426" i="4"/>
  <c r="P147" i="4"/>
  <c r="Q147" i="4"/>
  <c r="Q201" i="4"/>
  <c r="P201" i="4"/>
  <c r="Q23" i="4"/>
  <c r="P23" i="4"/>
  <c r="P484" i="4"/>
  <c r="Q484" i="4"/>
  <c r="Q486" i="4"/>
  <c r="P486" i="4"/>
  <c r="P404" i="4"/>
  <c r="Q404" i="4"/>
  <c r="P359" i="4"/>
  <c r="Q359" i="4"/>
  <c r="P455" i="4"/>
  <c r="Q455" i="4"/>
  <c r="P388" i="4"/>
  <c r="Q388" i="4"/>
  <c r="Q215" i="4"/>
  <c r="P215" i="4"/>
  <c r="P444" i="4"/>
  <c r="Q444" i="4"/>
  <c r="Q253" i="4"/>
  <c r="P253" i="4"/>
  <c r="P479" i="4"/>
  <c r="Q479" i="4"/>
  <c r="P118" i="4"/>
  <c r="Q118" i="4"/>
  <c r="P327" i="4"/>
  <c r="Q327" i="4"/>
  <c r="P95" i="4"/>
  <c r="Q95" i="4"/>
  <c r="Q478" i="4"/>
  <c r="P478" i="4"/>
  <c r="P495" i="4"/>
  <c r="Q495" i="4"/>
  <c r="P7" i="4"/>
  <c r="Q7" i="4"/>
  <c r="P476" i="4"/>
  <c r="Q476" i="4"/>
  <c r="P142" i="4"/>
  <c r="Q142" i="4"/>
  <c r="P375" i="4"/>
  <c r="Q375" i="4"/>
  <c r="P290" i="4"/>
  <c r="Q290" i="4"/>
  <c r="P54" i="4"/>
  <c r="Q54" i="4"/>
  <c r="Q475" i="4"/>
  <c r="P475" i="4"/>
  <c r="P162" i="4"/>
  <c r="Q162" i="4"/>
  <c r="Q371" i="4"/>
  <c r="P371" i="4"/>
  <c r="Q218" i="4"/>
  <c r="P218" i="4"/>
  <c r="Q424" i="4"/>
  <c r="P424" i="4"/>
  <c r="Q205" i="4"/>
  <c r="P205" i="4"/>
  <c r="P214" i="4"/>
  <c r="Q214" i="4"/>
  <c r="Q85" i="4"/>
  <c r="P85" i="4"/>
  <c r="P445" i="4"/>
  <c r="Q445" i="4"/>
  <c r="Q356" i="4"/>
  <c r="P356" i="4"/>
  <c r="P366" i="4"/>
  <c r="Q366" i="4"/>
  <c r="Q278" i="4"/>
  <c r="P278" i="4"/>
  <c r="P75" i="4"/>
  <c r="Q75" i="4"/>
  <c r="Q200" i="4"/>
  <c r="P200" i="4"/>
  <c r="P167" i="4"/>
  <c r="Q167" i="4"/>
  <c r="Q56" i="4"/>
  <c r="P56" i="4"/>
  <c r="P14" i="4"/>
  <c r="Q14" i="4"/>
  <c r="P188" i="4"/>
  <c r="Q188" i="4"/>
  <c r="P11" i="4"/>
  <c r="Q11" i="4"/>
  <c r="P376" i="4"/>
  <c r="Q376" i="4"/>
  <c r="P300" i="4"/>
  <c r="Q300" i="4"/>
  <c r="P150" i="4"/>
  <c r="Q150" i="4"/>
  <c r="Q333" i="4"/>
  <c r="P333" i="4"/>
  <c r="P347" i="4"/>
  <c r="Q347" i="4"/>
  <c r="P482" i="4"/>
  <c r="Q482" i="4"/>
  <c r="P174" i="4"/>
  <c r="Q174" i="4"/>
  <c r="Q160" i="4"/>
  <c r="P160" i="4"/>
  <c r="Q9" i="4"/>
  <c r="P9" i="4"/>
  <c r="Q386" i="4"/>
  <c r="P386" i="4"/>
  <c r="P408" i="4"/>
  <c r="Q408" i="4"/>
  <c r="P306" i="4"/>
  <c r="Q306" i="4"/>
  <c r="P456" i="4"/>
  <c r="Q456" i="4"/>
  <c r="P224" i="4"/>
  <c r="Q224" i="4"/>
  <c r="Q34" i="4"/>
  <c r="P34" i="4"/>
  <c r="P412" i="4"/>
  <c r="Q412" i="4"/>
  <c r="P293" i="4"/>
  <c r="Q293" i="4"/>
  <c r="P30" i="4"/>
  <c r="Q30" i="4"/>
  <c r="P458" i="4"/>
  <c r="Q458" i="4"/>
  <c r="Q130" i="4"/>
  <c r="P130" i="4"/>
  <c r="Q222" i="4"/>
  <c r="P222" i="4"/>
  <c r="P73" i="4"/>
  <c r="Q73" i="4"/>
  <c r="P49" i="4"/>
  <c r="Q49" i="4"/>
  <c r="P194" i="4"/>
  <c r="Q194" i="4"/>
  <c r="P186" i="4"/>
  <c r="Q186" i="4"/>
  <c r="P208" i="4"/>
  <c r="Q208" i="4"/>
  <c r="P125" i="4"/>
  <c r="Q125" i="4"/>
  <c r="P429" i="4"/>
  <c r="Q429" i="4"/>
  <c r="P44" i="4"/>
  <c r="Q44" i="4"/>
  <c r="P135" i="4"/>
  <c r="Q135" i="4"/>
  <c r="Q284" i="4"/>
  <c r="P284" i="4"/>
  <c r="P316" i="4"/>
  <c r="Q316" i="4"/>
  <c r="P369" i="4"/>
  <c r="Q369" i="4"/>
  <c r="P264" i="4"/>
  <c r="Q264" i="4"/>
  <c r="Q182" i="4"/>
  <c r="P182" i="4"/>
  <c r="Q270" i="4"/>
  <c r="P270" i="4"/>
  <c r="P236" i="4"/>
  <c r="Q236" i="4"/>
  <c r="P43" i="4"/>
  <c r="Q43" i="4"/>
  <c r="P178" i="4"/>
  <c r="Q178" i="4"/>
  <c r="P414" i="4"/>
  <c r="Q414" i="4"/>
  <c r="P499" i="4"/>
  <c r="Q499" i="4"/>
  <c r="P202" i="4"/>
  <c r="Q202" i="4"/>
  <c r="P282" i="4"/>
  <c r="Q282" i="4"/>
  <c r="P466" i="4"/>
  <c r="Q466" i="4"/>
  <c r="Q28" i="4"/>
  <c r="P28" i="4"/>
  <c r="P117" i="4"/>
  <c r="Q117" i="4"/>
  <c r="P199" i="4"/>
  <c r="Q199" i="4"/>
  <c r="P355" i="4"/>
  <c r="Q355" i="4"/>
  <c r="Q104" i="4"/>
  <c r="P104" i="4"/>
  <c r="Q170" i="4"/>
  <c r="P170" i="4"/>
  <c r="P62" i="4"/>
  <c r="Q62" i="4"/>
  <c r="P485" i="4"/>
  <c r="Q485" i="4"/>
  <c r="P17" i="4"/>
  <c r="Q17" i="4"/>
  <c r="Q163" i="4"/>
  <c r="P163" i="4"/>
  <c r="Q41" i="4"/>
  <c r="P41" i="4"/>
  <c r="P267" i="4"/>
  <c r="Q267" i="4"/>
  <c r="P88" i="4"/>
  <c r="Q88" i="4"/>
  <c r="Q127" i="4"/>
  <c r="P127" i="4"/>
  <c r="P461" i="4"/>
  <c r="Q461" i="4"/>
  <c r="Q168" i="4"/>
  <c r="P168" i="4"/>
  <c r="Q318" i="4"/>
  <c r="P318" i="4"/>
  <c r="Q36" i="4"/>
  <c r="P36" i="4"/>
  <c r="P166" i="4"/>
  <c r="Q166" i="4"/>
  <c r="Q265" i="4"/>
  <c r="P265" i="4"/>
  <c r="P452" i="4"/>
  <c r="Q452" i="4"/>
  <c r="Q354" i="4"/>
  <c r="P354" i="4"/>
  <c r="P437" i="4"/>
  <c r="Q437" i="4"/>
  <c r="Q494" i="4"/>
  <c r="P494" i="4"/>
  <c r="Q155" i="4"/>
  <c r="P155" i="4"/>
  <c r="Q340" i="4"/>
  <c r="P340" i="4"/>
  <c r="P173" i="4"/>
  <c r="Q173" i="4"/>
  <c r="P51" i="4"/>
  <c r="Q51" i="4"/>
  <c r="Q331" i="4"/>
  <c r="P331" i="4"/>
  <c r="Q292" i="4"/>
  <c r="P292" i="4"/>
  <c r="Q237" i="4"/>
  <c r="P237" i="4"/>
  <c r="P159" i="4"/>
  <c r="Q159" i="4"/>
  <c r="Q129" i="4"/>
  <c r="P129" i="4"/>
  <c r="P80" i="4"/>
  <c r="Q80" i="4"/>
  <c r="P423" i="4"/>
  <c r="Q423" i="4"/>
  <c r="P175" i="4"/>
  <c r="Q175" i="4"/>
  <c r="Q87" i="4"/>
  <c r="P87" i="4"/>
  <c r="P204" i="4"/>
  <c r="Q204" i="4"/>
  <c r="Q263" i="4"/>
  <c r="P263" i="4"/>
  <c r="P398" i="4"/>
  <c r="Q398" i="4"/>
  <c r="P156" i="4"/>
  <c r="Q156" i="4"/>
  <c r="P395" i="4"/>
  <c r="Q395" i="4"/>
  <c r="P67" i="4"/>
  <c r="Q67" i="4"/>
  <c r="P53" i="4"/>
  <c r="Q53" i="4"/>
  <c r="P413" i="4"/>
  <c r="Q413" i="4"/>
  <c r="Q20" i="4"/>
  <c r="P20" i="4"/>
  <c r="P496" i="4"/>
  <c r="Q496" i="4"/>
  <c r="P460" i="4"/>
  <c r="Q460" i="4"/>
  <c r="P48" i="4"/>
  <c r="Q48" i="4"/>
  <c r="Q227" i="4"/>
  <c r="P227" i="4"/>
  <c r="Q269" i="4"/>
  <c r="P269" i="4"/>
  <c r="P321" i="4"/>
  <c r="Q321" i="4"/>
  <c r="P165" i="4"/>
  <c r="Q165" i="4"/>
  <c r="Q405" i="4"/>
  <c r="P405" i="4"/>
  <c r="P349" i="4"/>
  <c r="Q349" i="4"/>
  <c r="Q119" i="4"/>
  <c r="P119" i="4"/>
  <c r="P488" i="4"/>
  <c r="Q488" i="4"/>
  <c r="P348" i="4"/>
  <c r="Q348" i="4"/>
  <c r="Q213" i="4"/>
  <c r="P213" i="4"/>
  <c r="Q325" i="4"/>
  <c r="P325" i="4"/>
  <c r="Q103" i="4"/>
  <c r="P103" i="4"/>
  <c r="P328" i="4"/>
  <c r="Q328" i="4"/>
  <c r="Q50" i="4"/>
  <c r="P50" i="4"/>
  <c r="Q311" i="4"/>
  <c r="P311" i="4"/>
  <c r="P158" i="4"/>
  <c r="Q158" i="4"/>
  <c r="Q115" i="4"/>
  <c r="P115" i="4"/>
  <c r="Q289" i="4"/>
  <c r="P289" i="4"/>
  <c r="Q110" i="4"/>
  <c r="P110" i="4"/>
  <c r="P394" i="4"/>
  <c r="Q394" i="4"/>
  <c r="Q291" i="4"/>
  <c r="P291" i="4"/>
  <c r="P391" i="4"/>
  <c r="Q391" i="4"/>
  <c r="P419" i="4"/>
  <c r="Q419" i="4"/>
  <c r="P343" i="4"/>
  <c r="Q343" i="4"/>
  <c r="Q491" i="4"/>
  <c r="P491" i="4"/>
  <c r="P322" i="4"/>
  <c r="Q322" i="4"/>
  <c r="Q133" i="4"/>
  <c r="P133" i="4"/>
  <c r="Q101" i="4"/>
  <c r="P101" i="4"/>
  <c r="Q399" i="4"/>
  <c r="P399" i="4"/>
  <c r="P427" i="4"/>
  <c r="Q427" i="4"/>
  <c r="P441" i="4"/>
  <c r="Q441" i="4"/>
  <c r="P190" i="4"/>
  <c r="Q190" i="4"/>
  <c r="P22" i="4"/>
  <c r="Q22" i="4"/>
  <c r="P409" i="4"/>
  <c r="Q409" i="4"/>
  <c r="P140" i="4"/>
  <c r="Q140" i="4"/>
  <c r="P90" i="4"/>
  <c r="Q90" i="4"/>
  <c r="P24" i="4"/>
  <c r="Q24" i="4"/>
  <c r="P164" i="4"/>
  <c r="Q164" i="4"/>
  <c r="P193" i="4"/>
  <c r="Q193" i="4"/>
  <c r="P360" i="4"/>
  <c r="Q360" i="4"/>
  <c r="Q425" i="4"/>
  <c r="P425" i="4"/>
  <c r="Q421" i="4"/>
  <c r="P421" i="4"/>
  <c r="Q317" i="4"/>
  <c r="P317" i="4"/>
  <c r="P401" i="4"/>
  <c r="Q401" i="4"/>
  <c r="Q111" i="4"/>
  <c r="P111" i="4"/>
  <c r="P312" i="4"/>
  <c r="Q312" i="4"/>
  <c r="Q65" i="4"/>
  <c r="P65" i="4"/>
  <c r="Q362" i="4"/>
  <c r="P362" i="4"/>
  <c r="P418" i="4"/>
  <c r="Q418" i="4"/>
  <c r="Q342" i="4"/>
  <c r="P342" i="4"/>
  <c r="Q84" i="4"/>
  <c r="P84" i="4"/>
  <c r="Q33" i="4"/>
  <c r="P33" i="4"/>
  <c r="P500" i="4"/>
  <c r="Q500" i="4"/>
  <c r="P428" i="4"/>
  <c r="Q428" i="4"/>
  <c r="Q310" i="4"/>
  <c r="P310" i="4"/>
  <c r="P382" i="4"/>
  <c r="Q382" i="4"/>
  <c r="Q143" i="4"/>
  <c r="P143" i="4"/>
  <c r="P96" i="4"/>
  <c r="Q96" i="4"/>
  <c r="Q169" i="4"/>
  <c r="P169" i="4"/>
  <c r="Q32" i="4"/>
  <c r="P32" i="4"/>
  <c r="Q324" i="4"/>
  <c r="P324" i="4"/>
  <c r="P472" i="4"/>
  <c r="Q472" i="4"/>
  <c r="Q297" i="4"/>
  <c r="P297" i="4"/>
  <c r="P210" i="4"/>
  <c r="Q210" i="4"/>
  <c r="P151" i="4"/>
  <c r="Q151" i="4"/>
  <c r="P203" i="4"/>
  <c r="Q203" i="4"/>
  <c r="P47" i="4"/>
  <c r="Q47" i="4"/>
  <c r="P374" i="4"/>
  <c r="Q374" i="4"/>
  <c r="P220" i="4"/>
  <c r="Q220" i="4"/>
  <c r="P295" i="4"/>
  <c r="Q295" i="4"/>
  <c r="P447" i="4"/>
  <c r="Q447" i="4"/>
  <c r="P381" i="4"/>
  <c r="Q381" i="4"/>
  <c r="P246" i="4"/>
  <c r="Q246" i="4"/>
  <c r="Q238" i="4"/>
  <c r="P238" i="4"/>
  <c r="P498" i="4"/>
  <c r="Q498" i="4"/>
  <c r="Q431" i="4"/>
  <c r="P431" i="4"/>
  <c r="P46" i="4"/>
  <c r="Q46" i="4"/>
  <c r="Q262" i="4"/>
  <c r="P262" i="4"/>
  <c r="P304" i="4"/>
  <c r="Q304" i="4"/>
  <c r="Q245" i="4"/>
  <c r="P245" i="4"/>
  <c r="P463" i="4"/>
  <c r="Q463" i="4"/>
  <c r="Q106" i="4"/>
  <c r="P106" i="4"/>
  <c r="Q60" i="4"/>
  <c r="P60" i="4"/>
  <c r="Q336" i="4"/>
  <c r="P336" i="4"/>
  <c r="P247" i="4"/>
  <c r="Q247" i="4"/>
  <c r="Q268" i="4"/>
  <c r="P268" i="4"/>
  <c r="P260" i="4"/>
  <c r="Q260" i="4"/>
  <c r="Q329" i="4"/>
  <c r="P329" i="4"/>
  <c r="P98" i="4"/>
  <c r="Q98" i="4"/>
  <c r="Q387" i="4"/>
  <c r="P387" i="4"/>
  <c r="P313" i="4"/>
  <c r="Q313" i="4"/>
  <c r="Q434" i="4"/>
  <c r="P434" i="4"/>
  <c r="P233" i="4"/>
  <c r="Q233" i="4"/>
  <c r="Q21" i="4"/>
  <c r="P21" i="4"/>
  <c r="Q93" i="4"/>
  <c r="P93" i="4"/>
  <c r="P154" i="4"/>
  <c r="Q154" i="4"/>
  <c r="P361" i="4"/>
  <c r="Q361" i="4"/>
  <c r="Q45" i="4"/>
  <c r="P45" i="4"/>
  <c r="P39" i="4"/>
  <c r="Q39" i="4"/>
  <c r="Q294" i="4"/>
  <c r="P294" i="4"/>
  <c r="P15" i="4"/>
  <c r="Q15" i="4"/>
  <c r="Q379" i="4"/>
  <c r="P379" i="4"/>
  <c r="Q334" i="4"/>
  <c r="P334" i="4"/>
  <c r="Q248" i="4"/>
  <c r="P248" i="4"/>
  <c r="Q346" i="4"/>
  <c r="P346" i="4"/>
  <c r="P187" i="4"/>
  <c r="Q187" i="4"/>
  <c r="Q285" i="4"/>
  <c r="P285" i="4"/>
  <c r="Q6" i="4"/>
  <c r="P6" i="4"/>
  <c r="P320" i="4"/>
  <c r="Q320" i="4"/>
  <c r="P287" i="4"/>
  <c r="Q287" i="4"/>
  <c r="P420" i="4"/>
  <c r="Q420" i="4"/>
  <c r="P207" i="4"/>
  <c r="Q207" i="4"/>
  <c r="Q141" i="4"/>
  <c r="P141" i="4"/>
  <c r="Q373" i="4"/>
  <c r="P373" i="4"/>
  <c r="P302" i="4"/>
  <c r="Q302" i="4"/>
  <c r="Q309" i="4"/>
  <c r="P309" i="4"/>
  <c r="P396" i="4"/>
  <c r="Q396" i="4"/>
  <c r="P132" i="4"/>
  <c r="Q132" i="4"/>
  <c r="P228" i="4"/>
  <c r="Q228" i="4"/>
  <c r="P52" i="4"/>
  <c r="Q52" i="4"/>
  <c r="Q225" i="4"/>
  <c r="P225" i="4"/>
  <c r="Q18" i="4"/>
  <c r="P18" i="4"/>
  <c r="P83" i="4"/>
  <c r="Q83" i="4"/>
  <c r="P314" i="4"/>
  <c r="Q314" i="4"/>
  <c r="P474" i="4"/>
  <c r="Q474" i="4"/>
  <c r="P235" i="4"/>
  <c r="Q235" i="4"/>
  <c r="P148" i="4"/>
  <c r="Q148" i="4"/>
  <c r="Q353" i="4"/>
  <c r="P353" i="4"/>
  <c r="Q26" i="4"/>
  <c r="P26" i="4"/>
  <c r="P231" i="4"/>
  <c r="Q231" i="4"/>
  <c r="P365" i="4"/>
  <c r="Q365" i="4"/>
  <c r="P303" i="4"/>
  <c r="Q303" i="4"/>
  <c r="P422" i="4"/>
  <c r="Q422" i="4"/>
  <c r="P390" i="4"/>
  <c r="Q390" i="4"/>
  <c r="P471" i="4"/>
  <c r="Q471" i="4"/>
  <c r="P453" i="4"/>
  <c r="Q453" i="4"/>
  <c r="Q277" i="4"/>
  <c r="P277" i="4"/>
  <c r="Q367" i="4"/>
  <c r="P367" i="4"/>
  <c r="Q16" i="4"/>
  <c r="P16" i="4"/>
  <c r="P234" i="4"/>
  <c r="Q234" i="4"/>
  <c r="P13" i="4"/>
  <c r="Q13" i="4"/>
  <c r="P469" i="4"/>
  <c r="Q469" i="4"/>
  <c r="Q206" i="4"/>
  <c r="P206" i="4"/>
  <c r="Q383" i="4"/>
  <c r="P383" i="4"/>
  <c r="P250" i="4"/>
  <c r="Q250" i="4"/>
  <c r="Q254" i="4"/>
  <c r="P254" i="4"/>
  <c r="Q109" i="4"/>
  <c r="P109" i="4"/>
  <c r="Q249" i="4"/>
  <c r="P249" i="4"/>
  <c r="Q330" i="4"/>
  <c r="P330" i="4"/>
  <c r="Q274" i="4"/>
  <c r="P274" i="4"/>
  <c r="P286" i="4"/>
  <c r="Q286" i="4"/>
  <c r="P61" i="4"/>
  <c r="Q61" i="4"/>
  <c r="P501" i="4"/>
  <c r="Q501" i="4"/>
  <c r="P271" i="4"/>
  <c r="Q271" i="4"/>
  <c r="P191" i="4"/>
  <c r="Q191" i="4"/>
  <c r="P149" i="4"/>
  <c r="Q149" i="4"/>
  <c r="Q176" i="4"/>
  <c r="P176" i="4"/>
  <c r="Q446" i="4"/>
  <c r="P446" i="4"/>
  <c r="P145" i="4"/>
  <c r="Q145" i="4"/>
  <c r="Q92" i="4"/>
  <c r="P92" i="4"/>
  <c r="Q181" i="4"/>
  <c r="P181" i="4"/>
  <c r="Q8" i="4"/>
  <c r="P8" i="4"/>
  <c r="P221" i="4"/>
  <c r="Q221" i="4"/>
  <c r="P216" i="4"/>
  <c r="Q216" i="4"/>
  <c r="Q126" i="4"/>
  <c r="P126" i="4"/>
  <c r="P490" i="4"/>
  <c r="Q490" i="4"/>
  <c r="Q189" i="4"/>
  <c r="P189" i="4"/>
  <c r="Q137" i="4"/>
  <c r="P137" i="4"/>
  <c r="P493" i="4"/>
  <c r="Q493" i="4"/>
  <c r="Q480" i="4"/>
  <c r="P480" i="4"/>
  <c r="P195" i="4"/>
  <c r="Q195" i="4"/>
  <c r="P71" i="4"/>
  <c r="Q71" i="4"/>
  <c r="P184" i="4"/>
  <c r="Q184" i="4"/>
  <c r="Q79" i="4"/>
  <c r="P79" i="4"/>
  <c r="Q370" i="4"/>
  <c r="P370" i="4"/>
  <c r="Q122" i="4"/>
  <c r="P122" i="4"/>
  <c r="P196" i="4"/>
  <c r="Q196" i="4"/>
  <c r="Q180" i="4"/>
  <c r="P180" i="4"/>
  <c r="R5" i="4"/>
  <c r="S5" i="4" s="1"/>
  <c r="G11" i="12" l="1"/>
  <c r="K11" i="12" s="1"/>
  <c r="M11" i="12" s="1"/>
  <c r="N10" i="12" s="1"/>
  <c r="O12" i="12"/>
  <c r="F12" i="12"/>
  <c r="H12" i="12" s="1"/>
  <c r="B13" i="12"/>
  <c r="I12" i="12"/>
  <c r="C19" i="12"/>
  <c r="J18" i="12"/>
  <c r="C20" i="12"/>
  <c r="J17" i="12"/>
  <c r="G9" i="11"/>
  <c r="K9" i="11" s="1"/>
  <c r="M9" i="11" s="1"/>
  <c r="N8" i="11" s="1"/>
  <c r="J19" i="11"/>
  <c r="C22" i="11"/>
  <c r="J20" i="11"/>
  <c r="C21" i="11"/>
  <c r="I10" i="11"/>
  <c r="O10" i="11"/>
  <c r="B11" i="11"/>
  <c r="F10" i="11"/>
  <c r="H10" i="11" s="1"/>
  <c r="C17" i="9"/>
  <c r="J17" i="9" s="1"/>
  <c r="J16" i="9"/>
  <c r="C18" i="9"/>
  <c r="G9" i="9"/>
  <c r="K9" i="9" s="1"/>
  <c r="M9" i="9" s="1"/>
  <c r="N8" i="9" s="1"/>
  <c r="B11" i="9"/>
  <c r="I10" i="9"/>
  <c r="F10" i="9"/>
  <c r="V52" i="5"/>
  <c r="M62" i="5"/>
  <c r="R126" i="4"/>
  <c r="S126" i="4" s="1"/>
  <c r="R181" i="4"/>
  <c r="S181" i="4" s="1"/>
  <c r="R176" i="4"/>
  <c r="S176" i="4" s="1"/>
  <c r="R330" i="4"/>
  <c r="S330" i="4" s="1"/>
  <c r="R26" i="4"/>
  <c r="S26" i="4" s="1"/>
  <c r="R368" i="4"/>
  <c r="S368" i="4" s="1"/>
  <c r="R180" i="4"/>
  <c r="S180" i="4" s="1"/>
  <c r="R446" i="4"/>
  <c r="S446" i="4" s="1"/>
  <c r="R274" i="4"/>
  <c r="S274" i="4" s="1"/>
  <c r="R254" i="4"/>
  <c r="S254" i="4" s="1"/>
  <c r="R367" i="4"/>
  <c r="S367" i="4" s="1"/>
  <c r="R300" i="4"/>
  <c r="S300" i="4" s="1"/>
  <c r="R339" i="4"/>
  <c r="S339" i="4" s="1"/>
  <c r="R226" i="4"/>
  <c r="S226" i="4" s="1"/>
  <c r="R122" i="4"/>
  <c r="S122" i="4" s="1"/>
  <c r="R383" i="4"/>
  <c r="S383" i="4" s="1"/>
  <c r="R143" i="4"/>
  <c r="S143" i="4" s="1"/>
  <c r="R348" i="4"/>
  <c r="S348" i="4" s="1"/>
  <c r="R405" i="4"/>
  <c r="S405" i="4" s="1"/>
  <c r="R227" i="4"/>
  <c r="S227" i="4" s="1"/>
  <c r="R204" i="4"/>
  <c r="S204" i="4" s="1"/>
  <c r="R127" i="4"/>
  <c r="S127" i="4" s="1"/>
  <c r="R163" i="4"/>
  <c r="S163" i="4" s="1"/>
  <c r="R73" i="4"/>
  <c r="S73" i="4" s="1"/>
  <c r="R421" i="4"/>
  <c r="S421" i="4" s="1"/>
  <c r="R289" i="4"/>
  <c r="S289" i="4" s="1"/>
  <c r="R50" i="4"/>
  <c r="S50" i="4" s="1"/>
  <c r="R213" i="4"/>
  <c r="S213" i="4" s="1"/>
  <c r="R269" i="4"/>
  <c r="S269" i="4" s="1"/>
  <c r="R461" i="4"/>
  <c r="S461" i="4" s="1"/>
  <c r="R41" i="4"/>
  <c r="S41" i="4" s="1"/>
  <c r="R284" i="4"/>
  <c r="S284" i="4" s="1"/>
  <c r="R34" i="4"/>
  <c r="S34" i="4" s="1"/>
  <c r="R58" i="4"/>
  <c r="S58" i="4" s="1"/>
  <c r="R351" i="4"/>
  <c r="S351" i="4" s="1"/>
  <c r="R102" i="4"/>
  <c r="S102" i="4" s="1"/>
  <c r="R307" i="4"/>
  <c r="S307" i="4" s="1"/>
  <c r="R121" i="4"/>
  <c r="S121" i="4" s="1"/>
  <c r="R285" i="4"/>
  <c r="S285" i="4" s="1"/>
  <c r="R334" i="4"/>
  <c r="S334" i="4" s="1"/>
  <c r="R93" i="4"/>
  <c r="S93" i="4" s="1"/>
  <c r="R60" i="4"/>
  <c r="S60" i="4" s="1"/>
  <c r="R110" i="4"/>
  <c r="S110" i="4" s="1"/>
  <c r="R311" i="4"/>
  <c r="S311" i="4" s="1"/>
  <c r="R325" i="4"/>
  <c r="S325" i="4" s="1"/>
  <c r="R119" i="4"/>
  <c r="S119" i="4" s="1"/>
  <c r="R51" i="4"/>
  <c r="S51" i="4" s="1"/>
  <c r="R160" i="4"/>
  <c r="S160" i="4" s="1"/>
  <c r="R333" i="4"/>
  <c r="S333" i="4" s="1"/>
  <c r="R359" i="4"/>
  <c r="S359" i="4" s="1"/>
  <c r="R23" i="4"/>
  <c r="S23" i="4" s="1"/>
  <c r="R438" i="4"/>
  <c r="S438" i="4" s="1"/>
  <c r="R350" i="4"/>
  <c r="S350" i="4" s="1"/>
  <c r="R358" i="4"/>
  <c r="S358" i="4" s="1"/>
  <c r="R232" i="4"/>
  <c r="S232" i="4" s="1"/>
  <c r="R478" i="4"/>
  <c r="S478" i="4" s="1"/>
  <c r="R388" i="4"/>
  <c r="S388" i="4" s="1"/>
  <c r="R486" i="4"/>
  <c r="S486" i="4" s="1"/>
  <c r="R401" i="4"/>
  <c r="S401" i="4" s="1"/>
  <c r="R360" i="4"/>
  <c r="S360" i="4" s="1"/>
  <c r="R90" i="4"/>
  <c r="S90" i="4" s="1"/>
  <c r="R413" i="4"/>
  <c r="S413" i="4" s="1"/>
  <c r="R189" i="4"/>
  <c r="S189" i="4" s="1"/>
  <c r="R109" i="4"/>
  <c r="S109" i="4" s="1"/>
  <c r="R206" i="4"/>
  <c r="S206" i="4" s="1"/>
  <c r="R209" i="4"/>
  <c r="S209" i="4" s="1"/>
  <c r="R414" i="4"/>
  <c r="S414" i="4" s="1"/>
  <c r="R385" i="4"/>
  <c r="S385" i="4" s="1"/>
  <c r="R454" i="4"/>
  <c r="S454" i="4" s="1"/>
  <c r="R447" i="4"/>
  <c r="S447" i="4" s="1"/>
  <c r="R501" i="4"/>
  <c r="S501" i="4" s="1"/>
  <c r="R309" i="4"/>
  <c r="S309" i="4" s="1"/>
  <c r="R431" i="4"/>
  <c r="S431" i="4" s="1"/>
  <c r="R374" i="4"/>
  <c r="S374" i="4" s="1"/>
  <c r="R32" i="4"/>
  <c r="S32" i="4" s="1"/>
  <c r="R382" i="4"/>
  <c r="S382" i="4" s="1"/>
  <c r="R155" i="4"/>
  <c r="S155" i="4" s="1"/>
  <c r="R318" i="4"/>
  <c r="S318" i="4" s="1"/>
  <c r="R222" i="4"/>
  <c r="S222" i="4" s="1"/>
  <c r="R481" i="4"/>
  <c r="S481" i="4" s="1"/>
  <c r="R230" i="4"/>
  <c r="S230" i="4" s="1"/>
  <c r="R25" i="4"/>
  <c r="S25" i="4" s="1"/>
  <c r="R450" i="4"/>
  <c r="S450" i="4" s="1"/>
  <c r="R476" i="4"/>
  <c r="S476" i="4" s="1"/>
  <c r="R426" i="4"/>
  <c r="S426" i="4" s="1"/>
  <c r="R301" i="4"/>
  <c r="S301" i="4" s="1"/>
  <c r="R216" i="4"/>
  <c r="S216" i="4" s="1"/>
  <c r="R234" i="4"/>
  <c r="S234" i="4" s="1"/>
  <c r="R417" i="4"/>
  <c r="S417" i="4" s="1"/>
  <c r="R203" i="4"/>
  <c r="S203" i="4" s="1"/>
  <c r="R347" i="4"/>
  <c r="S347" i="4" s="1"/>
  <c r="R85" i="4"/>
  <c r="S85" i="4" s="1"/>
  <c r="R455" i="4"/>
  <c r="S455" i="4" s="1"/>
  <c r="R439" i="4"/>
  <c r="S439" i="4" s="1"/>
  <c r="R440" i="4"/>
  <c r="S440" i="4" s="1"/>
  <c r="R98" i="4"/>
  <c r="S98" i="4" s="1"/>
  <c r="R295" i="4"/>
  <c r="S295" i="4" s="1"/>
  <c r="R53" i="4"/>
  <c r="S53" i="4" s="1"/>
  <c r="R376" i="4"/>
  <c r="S376" i="4" s="1"/>
  <c r="R484" i="4"/>
  <c r="S484" i="4" s="1"/>
  <c r="R430" i="4"/>
  <c r="S430" i="4" s="1"/>
  <c r="R375" i="4"/>
  <c r="S375" i="4" s="1"/>
  <c r="R255" i="4"/>
  <c r="S255" i="4" s="1"/>
  <c r="R472" i="4"/>
  <c r="S472" i="4" s="1"/>
  <c r="R456" i="4"/>
  <c r="S456" i="4" s="1"/>
  <c r="R56" i="4"/>
  <c r="S56" i="4" s="1"/>
  <c r="R54" i="4"/>
  <c r="S54" i="4" s="1"/>
  <c r="R503" i="4"/>
  <c r="S503" i="4" s="1"/>
  <c r="R349" i="4"/>
  <c r="S349" i="4" s="1"/>
  <c r="R18" i="4"/>
  <c r="S18" i="4" s="1"/>
  <c r="R373" i="4"/>
  <c r="S373" i="4" s="1"/>
  <c r="R84" i="4"/>
  <c r="S84" i="4" s="1"/>
  <c r="R87" i="4"/>
  <c r="S87" i="4" s="1"/>
  <c r="R129" i="4"/>
  <c r="S129" i="4" s="1"/>
  <c r="R386" i="4"/>
  <c r="S386" i="4" s="1"/>
  <c r="R424" i="4"/>
  <c r="S424" i="4" s="1"/>
  <c r="R475" i="4"/>
  <c r="S475" i="4" s="1"/>
  <c r="R283" i="4"/>
  <c r="S283" i="4" s="1"/>
  <c r="R239" i="4"/>
  <c r="S239" i="4" s="1"/>
  <c r="R199" i="4"/>
  <c r="S199" i="4" s="1"/>
  <c r="R444" i="4"/>
  <c r="S444" i="4" s="1"/>
  <c r="R365" i="4"/>
  <c r="S365" i="4" s="1"/>
  <c r="R294" i="4"/>
  <c r="S294" i="4" s="1"/>
  <c r="R220" i="4"/>
  <c r="S220" i="4" s="1"/>
  <c r="R164" i="4"/>
  <c r="S164" i="4" s="1"/>
  <c r="R353" i="4"/>
  <c r="S353" i="4" s="1"/>
  <c r="R346" i="4"/>
  <c r="S346" i="4" s="1"/>
  <c r="R342" i="4"/>
  <c r="S342" i="4" s="1"/>
  <c r="R130" i="4"/>
  <c r="S130" i="4" s="1"/>
  <c r="R502" i="4"/>
  <c r="S502" i="4" s="1"/>
  <c r="R437" i="4"/>
  <c r="S437" i="4" s="1"/>
  <c r="R282" i="4"/>
  <c r="S282" i="4" s="1"/>
  <c r="R409" i="4"/>
  <c r="S409" i="4" s="1"/>
  <c r="R458" i="4"/>
  <c r="S458" i="4" s="1"/>
  <c r="R174" i="4"/>
  <c r="S174" i="4" s="1"/>
  <c r="R356" i="4"/>
  <c r="S356" i="4" s="1"/>
  <c r="R495" i="4"/>
  <c r="S495" i="4" s="1"/>
  <c r="R504" i="4"/>
  <c r="S504" i="4" s="1"/>
  <c r="R420" i="4"/>
  <c r="S420" i="4" s="1"/>
  <c r="R496" i="4"/>
  <c r="S496" i="4" s="1"/>
  <c r="R67" i="4"/>
  <c r="S67" i="4" s="1"/>
  <c r="R62" i="4"/>
  <c r="S62" i="4" s="1"/>
  <c r="R500" i="4"/>
  <c r="S500" i="4" s="1"/>
  <c r="R460" i="4"/>
  <c r="S460" i="4" s="1"/>
  <c r="R188" i="4"/>
  <c r="S188" i="4" s="1"/>
  <c r="R404" i="4"/>
  <c r="S404" i="4" s="1"/>
  <c r="R399" i="4"/>
  <c r="S399" i="4" s="1"/>
  <c r="R491" i="4"/>
  <c r="S491" i="4" s="1"/>
  <c r="R452" i="4"/>
  <c r="S452" i="4" s="1"/>
  <c r="R236" i="4"/>
  <c r="S236" i="4" s="1"/>
  <c r="R30" i="4"/>
  <c r="S30" i="4" s="1"/>
  <c r="R75" i="4"/>
  <c r="S75" i="4" s="1"/>
  <c r="R142" i="4"/>
  <c r="S142" i="4" s="1"/>
  <c r="R147" i="4"/>
  <c r="S147" i="4" s="1"/>
  <c r="R492" i="4"/>
  <c r="S492" i="4" s="1"/>
  <c r="R10" i="4"/>
  <c r="S10" i="4" s="1"/>
  <c r="R151" i="4"/>
  <c r="S151" i="4" s="1"/>
  <c r="R156" i="4"/>
  <c r="S156" i="4" s="1"/>
  <c r="R125" i="4"/>
  <c r="S125" i="4" s="1"/>
  <c r="R464" i="4"/>
  <c r="S464" i="4" s="1"/>
  <c r="R391" i="4"/>
  <c r="S391" i="4" s="1"/>
  <c r="R150" i="4"/>
  <c r="S150" i="4" s="1"/>
  <c r="R118" i="4"/>
  <c r="S118" i="4" s="1"/>
  <c r="R235" i="4"/>
  <c r="S235" i="4" s="1"/>
  <c r="R249" i="4"/>
  <c r="S249" i="4" s="1"/>
  <c r="R422" i="4"/>
  <c r="S422" i="4" s="1"/>
  <c r="R225" i="4"/>
  <c r="S225" i="4" s="1"/>
  <c r="R396" i="4"/>
  <c r="S396" i="4" s="1"/>
  <c r="R287" i="4"/>
  <c r="S287" i="4" s="1"/>
  <c r="R187" i="4"/>
  <c r="S187" i="4" s="1"/>
  <c r="R268" i="4"/>
  <c r="S268" i="4" s="1"/>
  <c r="R262" i="4"/>
  <c r="S262" i="4" s="1"/>
  <c r="R47" i="4"/>
  <c r="S47" i="4" s="1"/>
  <c r="R101" i="4"/>
  <c r="S101" i="4" s="1"/>
  <c r="R343" i="4"/>
  <c r="S343" i="4" s="1"/>
  <c r="R103" i="4"/>
  <c r="S103" i="4" s="1"/>
  <c r="R275" i="4"/>
  <c r="S275" i="4" s="1"/>
  <c r="R276" i="4"/>
  <c r="S276" i="4" s="1"/>
  <c r="R70" i="4"/>
  <c r="S70" i="4" s="1"/>
  <c r="R432" i="4"/>
  <c r="S432" i="4" s="1"/>
  <c r="R288" i="4"/>
  <c r="S288" i="4" s="1"/>
  <c r="R381" i="4"/>
  <c r="S381" i="4" s="1"/>
  <c r="R140" i="4"/>
  <c r="S140" i="4" s="1"/>
  <c r="R11" i="4"/>
  <c r="S11" i="4" s="1"/>
  <c r="R7" i="4"/>
  <c r="S7" i="4" s="1"/>
  <c r="R29" i="4"/>
  <c r="S29" i="4" s="1"/>
  <c r="R370" i="4"/>
  <c r="S370" i="4" s="1"/>
  <c r="R137" i="4"/>
  <c r="S137" i="4" s="1"/>
  <c r="R92" i="4"/>
  <c r="S92" i="4" s="1"/>
  <c r="R250" i="4"/>
  <c r="S250" i="4" s="1"/>
  <c r="R469" i="4"/>
  <c r="S469" i="4" s="1"/>
  <c r="R16" i="4"/>
  <c r="S16" i="4" s="1"/>
  <c r="R453" i="4"/>
  <c r="S453" i="4" s="1"/>
  <c r="R303" i="4"/>
  <c r="S303" i="4" s="1"/>
  <c r="R379" i="4"/>
  <c r="S379" i="4" s="1"/>
  <c r="R45" i="4"/>
  <c r="S45" i="4" s="1"/>
  <c r="R387" i="4"/>
  <c r="S387" i="4" s="1"/>
  <c r="R169" i="4"/>
  <c r="S169" i="4" s="1"/>
  <c r="R312" i="4"/>
  <c r="S312" i="4" s="1"/>
  <c r="R133" i="4"/>
  <c r="S133" i="4" s="1"/>
  <c r="R394" i="4"/>
  <c r="S394" i="4" s="1"/>
  <c r="R158" i="4"/>
  <c r="S158" i="4" s="1"/>
  <c r="R488" i="4"/>
  <c r="S488" i="4" s="1"/>
  <c r="R423" i="4"/>
  <c r="S423" i="4" s="1"/>
  <c r="R237" i="4"/>
  <c r="S237" i="4" s="1"/>
  <c r="R494" i="4"/>
  <c r="S494" i="4" s="1"/>
  <c r="R265" i="4"/>
  <c r="S265" i="4" s="1"/>
  <c r="R17" i="4"/>
  <c r="S17" i="4" s="1"/>
  <c r="R104" i="4"/>
  <c r="S104" i="4" s="1"/>
  <c r="R28" i="4"/>
  <c r="S28" i="4" s="1"/>
  <c r="R264" i="4"/>
  <c r="S264" i="4" s="1"/>
  <c r="R135" i="4"/>
  <c r="S135" i="4" s="1"/>
  <c r="R224" i="4"/>
  <c r="S224" i="4" s="1"/>
  <c r="R200" i="4"/>
  <c r="S200" i="4" s="1"/>
  <c r="R215" i="4"/>
  <c r="S215" i="4" s="1"/>
  <c r="R201" i="4"/>
  <c r="S201" i="4" s="1"/>
  <c r="R407" i="4"/>
  <c r="S407" i="4" s="1"/>
  <c r="R364" i="4"/>
  <c r="S364" i="4" s="1"/>
  <c r="R338" i="4"/>
  <c r="S338" i="4" s="1"/>
  <c r="R192" i="4"/>
  <c r="S192" i="4" s="1"/>
  <c r="R378" i="4"/>
  <c r="S378" i="4" s="1"/>
  <c r="R271" i="4"/>
  <c r="S271" i="4" s="1"/>
  <c r="R245" i="4"/>
  <c r="S245" i="4" s="1"/>
  <c r="R493" i="4"/>
  <c r="S493" i="4" s="1"/>
  <c r="R317" i="4"/>
  <c r="S317" i="4" s="1"/>
  <c r="R202" i="4"/>
  <c r="S202" i="4" s="1"/>
  <c r="R167" i="4"/>
  <c r="S167" i="4" s="1"/>
  <c r="R13" i="4"/>
  <c r="S13" i="4" s="1"/>
  <c r="R471" i="4"/>
  <c r="S471" i="4" s="1"/>
  <c r="R314" i="4"/>
  <c r="S314" i="4" s="1"/>
  <c r="R238" i="4"/>
  <c r="S238" i="4" s="1"/>
  <c r="R310" i="4"/>
  <c r="S310" i="4" s="1"/>
  <c r="R425" i="4"/>
  <c r="S425" i="4" s="1"/>
  <c r="R321" i="4"/>
  <c r="S321" i="4" s="1"/>
  <c r="R173" i="4"/>
  <c r="S173" i="4" s="1"/>
  <c r="R270" i="4"/>
  <c r="S270" i="4" s="1"/>
  <c r="R369" i="4"/>
  <c r="S369" i="4" s="1"/>
  <c r="R479" i="4"/>
  <c r="S479" i="4" s="1"/>
  <c r="R107" i="4"/>
  <c r="S107" i="4" s="1"/>
  <c r="R416" i="4"/>
  <c r="S416" i="4" s="1"/>
  <c r="R49" i="4"/>
  <c r="S49" i="4" s="1"/>
  <c r="R99" i="4"/>
  <c r="S99" i="4" s="1"/>
  <c r="R184" i="4"/>
  <c r="S184" i="4" s="1"/>
  <c r="R366" i="4"/>
  <c r="S366" i="4" s="1"/>
  <c r="R327" i="4"/>
  <c r="S327" i="4" s="1"/>
  <c r="R52" i="4"/>
  <c r="S52" i="4" s="1"/>
  <c r="R485" i="4"/>
  <c r="S485" i="4" s="1"/>
  <c r="R445" i="4"/>
  <c r="S445" i="4" s="1"/>
  <c r="R190" i="4"/>
  <c r="S190" i="4" s="1"/>
  <c r="R344" i="4"/>
  <c r="S344" i="4" s="1"/>
  <c r="R55" i="4"/>
  <c r="S55" i="4" s="1"/>
  <c r="R193" i="4"/>
  <c r="S193" i="4" s="1"/>
  <c r="R263" i="4"/>
  <c r="S263" i="4" s="1"/>
  <c r="R117" i="4"/>
  <c r="S117" i="4" s="1"/>
  <c r="R214" i="4"/>
  <c r="S214" i="4" s="1"/>
  <c r="R290" i="4"/>
  <c r="S290" i="4" s="1"/>
  <c r="R320" i="4"/>
  <c r="S320" i="4" s="1"/>
  <c r="R480" i="4"/>
  <c r="S480" i="4" s="1"/>
  <c r="R8" i="4"/>
  <c r="S8" i="4" s="1"/>
  <c r="R145" i="4"/>
  <c r="S145" i="4" s="1"/>
  <c r="R191" i="4"/>
  <c r="S191" i="4" s="1"/>
  <c r="R286" i="4"/>
  <c r="S286" i="4" s="1"/>
  <c r="R277" i="4"/>
  <c r="S277" i="4" s="1"/>
  <c r="R390" i="4"/>
  <c r="S390" i="4" s="1"/>
  <c r="R6" i="4"/>
  <c r="S6" i="4" s="1"/>
  <c r="R248" i="4"/>
  <c r="S248" i="4" s="1"/>
  <c r="R434" i="4"/>
  <c r="S434" i="4" s="1"/>
  <c r="R247" i="4"/>
  <c r="S247" i="4" s="1"/>
  <c r="R463" i="4"/>
  <c r="S463" i="4" s="1"/>
  <c r="R46" i="4"/>
  <c r="S46" i="4" s="1"/>
  <c r="R324" i="4"/>
  <c r="S324" i="4" s="1"/>
  <c r="R428" i="4"/>
  <c r="S428" i="4" s="1"/>
  <c r="R22" i="4"/>
  <c r="S22" i="4" s="1"/>
  <c r="R291" i="4"/>
  <c r="S291" i="4" s="1"/>
  <c r="R331" i="4"/>
  <c r="S331" i="4" s="1"/>
  <c r="R340" i="4"/>
  <c r="S340" i="4" s="1"/>
  <c r="R354" i="4"/>
  <c r="S354" i="4" s="1"/>
  <c r="R36" i="4"/>
  <c r="S36" i="4" s="1"/>
  <c r="R182" i="4"/>
  <c r="S182" i="4" s="1"/>
  <c r="R316" i="4"/>
  <c r="S316" i="4" s="1"/>
  <c r="R429" i="4"/>
  <c r="S429" i="4" s="1"/>
  <c r="R194" i="4"/>
  <c r="S194" i="4" s="1"/>
  <c r="R412" i="4"/>
  <c r="S412" i="4" s="1"/>
  <c r="R9" i="4"/>
  <c r="S9" i="4" s="1"/>
  <c r="R278" i="4"/>
  <c r="S278" i="4" s="1"/>
  <c r="R253" i="4"/>
  <c r="S253" i="4" s="1"/>
  <c r="R35" i="4"/>
  <c r="S35" i="4" s="1"/>
  <c r="R435" i="4"/>
  <c r="S435" i="4" s="1"/>
  <c r="R76" i="4"/>
  <c r="S76" i="4" s="1"/>
  <c r="R153" i="4"/>
  <c r="S153" i="4" s="1"/>
  <c r="R490" i="4"/>
  <c r="S490" i="4" s="1"/>
  <c r="R141" i="4"/>
  <c r="S141" i="4" s="1"/>
  <c r="R21" i="4"/>
  <c r="S21" i="4" s="1"/>
  <c r="R313" i="4"/>
  <c r="S313" i="4" s="1"/>
  <c r="R336" i="4"/>
  <c r="S336" i="4" s="1"/>
  <c r="R246" i="4"/>
  <c r="S246" i="4" s="1"/>
  <c r="R96" i="4"/>
  <c r="S96" i="4" s="1"/>
  <c r="R362" i="4"/>
  <c r="S362" i="4" s="1"/>
  <c r="R111" i="4"/>
  <c r="S111" i="4" s="1"/>
  <c r="R328" i="4"/>
  <c r="S328" i="4" s="1"/>
  <c r="R20" i="4"/>
  <c r="S20" i="4" s="1"/>
  <c r="R175" i="4"/>
  <c r="S175" i="4" s="1"/>
  <c r="R159" i="4"/>
  <c r="S159" i="4" s="1"/>
  <c r="R168" i="4"/>
  <c r="S168" i="4" s="1"/>
  <c r="R88" i="4"/>
  <c r="S88" i="4" s="1"/>
  <c r="R170" i="4"/>
  <c r="S170" i="4" s="1"/>
  <c r="R178" i="4"/>
  <c r="S178" i="4" s="1"/>
  <c r="R44" i="4"/>
  <c r="S44" i="4" s="1"/>
  <c r="R186" i="4"/>
  <c r="S186" i="4" s="1"/>
  <c r="R205" i="4"/>
  <c r="S205" i="4" s="1"/>
  <c r="R371" i="4"/>
  <c r="S371" i="4" s="1"/>
  <c r="R95" i="4"/>
  <c r="S95" i="4" s="1"/>
  <c r="R267" i="4"/>
  <c r="S267" i="4" s="1"/>
  <c r="R83" i="4"/>
  <c r="S83" i="4" s="1"/>
  <c r="R419" i="4"/>
  <c r="S419" i="4" s="1"/>
  <c r="R166" i="4"/>
  <c r="S166" i="4" s="1"/>
  <c r="R293" i="4"/>
  <c r="S293" i="4" s="1"/>
  <c r="R71" i="4"/>
  <c r="S71" i="4" s="1"/>
  <c r="R233" i="4"/>
  <c r="S233" i="4" s="1"/>
  <c r="R304" i="4"/>
  <c r="S304" i="4" s="1"/>
  <c r="R210" i="4"/>
  <c r="S210" i="4" s="1"/>
  <c r="R24" i="4"/>
  <c r="S24" i="4" s="1"/>
  <c r="R499" i="4"/>
  <c r="S499" i="4" s="1"/>
  <c r="R162" i="4"/>
  <c r="S162" i="4" s="1"/>
  <c r="R228" i="4"/>
  <c r="S228" i="4" s="1"/>
  <c r="R302" i="4"/>
  <c r="S302" i="4" s="1"/>
  <c r="R106" i="4"/>
  <c r="S106" i="4" s="1"/>
  <c r="R498" i="4"/>
  <c r="S498" i="4" s="1"/>
  <c r="R297" i="4"/>
  <c r="S297" i="4" s="1"/>
  <c r="R33" i="4"/>
  <c r="S33" i="4" s="1"/>
  <c r="R65" i="4"/>
  <c r="S65" i="4" s="1"/>
  <c r="R427" i="4"/>
  <c r="S427" i="4" s="1"/>
  <c r="R322" i="4"/>
  <c r="S322" i="4" s="1"/>
  <c r="R80" i="4"/>
  <c r="S80" i="4" s="1"/>
  <c r="R306" i="4"/>
  <c r="S306" i="4" s="1"/>
  <c r="R15" i="4"/>
  <c r="S15" i="4" s="1"/>
  <c r="R48" i="4"/>
  <c r="S48" i="4" s="1"/>
  <c r="R361" i="4"/>
  <c r="S361" i="4" s="1"/>
  <c r="R482" i="4"/>
  <c r="S482" i="4" s="1"/>
  <c r="R149" i="4"/>
  <c r="S149" i="4" s="1"/>
  <c r="R355" i="4"/>
  <c r="S355" i="4" s="1"/>
  <c r="R466" i="4"/>
  <c r="S466" i="4" s="1"/>
  <c r="R299" i="4"/>
  <c r="S299" i="4" s="1"/>
  <c r="R441" i="4"/>
  <c r="S441" i="4" s="1"/>
  <c r="R43" i="4"/>
  <c r="S43" i="4" s="1"/>
  <c r="R207" i="4"/>
  <c r="S207" i="4" s="1"/>
  <c r="R260" i="4"/>
  <c r="S260" i="4" s="1"/>
  <c r="R395" i="4"/>
  <c r="S395" i="4" s="1"/>
  <c r="R14" i="4"/>
  <c r="S14" i="4" s="1"/>
  <c r="R196" i="4"/>
  <c r="S196" i="4" s="1"/>
  <c r="R61" i="4"/>
  <c r="S61" i="4" s="1"/>
  <c r="R148" i="4"/>
  <c r="S148" i="4" s="1"/>
  <c r="R154" i="4"/>
  <c r="S154" i="4" s="1"/>
  <c r="R79" i="4"/>
  <c r="S79" i="4" s="1"/>
  <c r="R195" i="4"/>
  <c r="S195" i="4" s="1"/>
  <c r="R221" i="4"/>
  <c r="S221" i="4" s="1"/>
  <c r="R231" i="4"/>
  <c r="S231" i="4" s="1"/>
  <c r="R474" i="4"/>
  <c r="S474" i="4" s="1"/>
  <c r="R132" i="4"/>
  <c r="S132" i="4" s="1"/>
  <c r="R39" i="4"/>
  <c r="S39" i="4" s="1"/>
  <c r="R329" i="4"/>
  <c r="S329" i="4" s="1"/>
  <c r="R418" i="4"/>
  <c r="S418" i="4" s="1"/>
  <c r="R115" i="4"/>
  <c r="S115" i="4" s="1"/>
  <c r="R165" i="4"/>
  <c r="S165" i="4" s="1"/>
  <c r="R398" i="4"/>
  <c r="S398" i="4" s="1"/>
  <c r="R292" i="4"/>
  <c r="S292" i="4" s="1"/>
  <c r="R208" i="4"/>
  <c r="S208" i="4" s="1"/>
  <c r="R408" i="4"/>
  <c r="S408" i="4" s="1"/>
  <c r="R218" i="4"/>
  <c r="S218" i="4" s="1"/>
  <c r="R483" i="4"/>
  <c r="S483" i="4" s="1"/>
  <c r="G12" i="12" l="1"/>
  <c r="K12" i="12" s="1"/>
  <c r="M12" i="12" s="1"/>
  <c r="I13" i="12"/>
  <c r="B14" i="12"/>
  <c r="F13" i="12"/>
  <c r="H13" i="12" s="1"/>
  <c r="C21" i="12"/>
  <c r="J20" i="12"/>
  <c r="C22" i="12"/>
  <c r="J19" i="12"/>
  <c r="G10" i="11"/>
  <c r="K10" i="11" s="1"/>
  <c r="J21" i="11"/>
  <c r="B12" i="11"/>
  <c r="I11" i="11"/>
  <c r="F11" i="11"/>
  <c r="H11" i="11" s="1"/>
  <c r="C24" i="11"/>
  <c r="J22" i="11"/>
  <c r="C23" i="11"/>
  <c r="M10" i="11"/>
  <c r="C20" i="9"/>
  <c r="J18" i="9"/>
  <c r="C19" i="9"/>
  <c r="J19" i="9" s="1"/>
  <c r="I11" i="9"/>
  <c r="B12" i="9"/>
  <c r="O12" i="9" s="1"/>
  <c r="F11" i="9"/>
  <c r="H11" i="9" s="1"/>
  <c r="G10" i="9"/>
  <c r="K10" i="9" s="1"/>
  <c r="H10" i="9"/>
  <c r="R508" i="4"/>
  <c r="R509" i="4" s="1"/>
  <c r="V53" i="5"/>
  <c r="M63" i="5"/>
  <c r="R505" i="4"/>
  <c r="R507" i="4"/>
  <c r="G13" i="12" l="1"/>
  <c r="K13" i="12" s="1"/>
  <c r="J21" i="12"/>
  <c r="M13" i="12"/>
  <c r="N12" i="12" s="1"/>
  <c r="F14" i="12"/>
  <c r="H14" i="12" s="1"/>
  <c r="B15" i="12"/>
  <c r="I14" i="12"/>
  <c r="O14" i="12"/>
  <c r="C23" i="12"/>
  <c r="J22" i="12"/>
  <c r="C24" i="12"/>
  <c r="C25" i="11"/>
  <c r="C26" i="11"/>
  <c r="J24" i="11"/>
  <c r="J23" i="11"/>
  <c r="G11" i="11"/>
  <c r="K11" i="11" s="1"/>
  <c r="M11" i="11" s="1"/>
  <c r="N10" i="11" s="1"/>
  <c r="I12" i="11"/>
  <c r="F12" i="11"/>
  <c r="H12" i="11" s="1"/>
  <c r="O12" i="11"/>
  <c r="B13" i="11"/>
  <c r="C22" i="9"/>
  <c r="C21" i="9"/>
  <c r="J21" i="9" s="1"/>
  <c r="J20" i="9"/>
  <c r="G11" i="9"/>
  <c r="K11" i="9" s="1"/>
  <c r="M11" i="9" s="1"/>
  <c r="M10" i="9"/>
  <c r="B13" i="9"/>
  <c r="F12" i="9"/>
  <c r="H12" i="9" s="1"/>
  <c r="I12" i="9"/>
  <c r="V54" i="5"/>
  <c r="M64" i="5"/>
  <c r="C26" i="12" l="1"/>
  <c r="C25" i="12"/>
  <c r="J24" i="12"/>
  <c r="I15" i="12"/>
  <c r="B16" i="12"/>
  <c r="F15" i="12"/>
  <c r="H15" i="12" s="1"/>
  <c r="J23" i="12"/>
  <c r="G14" i="12"/>
  <c r="K14" i="12" s="1"/>
  <c r="M14" i="12" s="1"/>
  <c r="G12" i="11"/>
  <c r="K12" i="11" s="1"/>
  <c r="I13" i="11"/>
  <c r="B14" i="11"/>
  <c r="F13" i="11"/>
  <c r="H13" i="11" s="1"/>
  <c r="M12" i="11"/>
  <c r="C28" i="11"/>
  <c r="J26" i="11"/>
  <c r="C27" i="11"/>
  <c r="J25" i="11"/>
  <c r="J22" i="9"/>
  <c r="C23" i="9"/>
  <c r="J23" i="9" s="1"/>
  <c r="C24" i="9"/>
  <c r="N10" i="9"/>
  <c r="G12" i="9"/>
  <c r="K12" i="9" s="1"/>
  <c r="M12" i="9" s="1"/>
  <c r="I13" i="9"/>
  <c r="B14" i="9"/>
  <c r="O14" i="9" s="1"/>
  <c r="F13" i="9"/>
  <c r="H13" i="9" s="1"/>
  <c r="V55" i="5"/>
  <c r="M65" i="5"/>
  <c r="G15" i="12" l="1"/>
  <c r="K15" i="12" s="1"/>
  <c r="M15" i="12" s="1"/>
  <c r="N14" i="12" s="1"/>
  <c r="B17" i="12"/>
  <c r="I16" i="12"/>
  <c r="O16" i="12"/>
  <c r="F16" i="12"/>
  <c r="H16" i="12" s="1"/>
  <c r="J25" i="12"/>
  <c r="C28" i="12"/>
  <c r="C27" i="12"/>
  <c r="J26" i="12"/>
  <c r="G13" i="11"/>
  <c r="K13" i="11" s="1"/>
  <c r="C30" i="11"/>
  <c r="C29" i="11"/>
  <c r="J28" i="11"/>
  <c r="J27" i="11"/>
  <c r="M13" i="11"/>
  <c r="N12" i="11" s="1"/>
  <c r="O14" i="11"/>
  <c r="B15" i="11"/>
  <c r="I14" i="11"/>
  <c r="F14" i="11"/>
  <c r="H14" i="11" s="1"/>
  <c r="C26" i="9"/>
  <c r="C25" i="9"/>
  <c r="J25" i="9" s="1"/>
  <c r="J24" i="9"/>
  <c r="F14" i="9"/>
  <c r="H14" i="9" s="1"/>
  <c r="B15" i="9"/>
  <c r="I14" i="9"/>
  <c r="G13" i="9"/>
  <c r="K13" i="9" s="1"/>
  <c r="M13" i="9" s="1"/>
  <c r="N12" i="9" s="1"/>
  <c r="V56" i="5"/>
  <c r="M66" i="5"/>
  <c r="G16" i="12" l="1"/>
  <c r="K16" i="12" s="1"/>
  <c r="M16" i="12" s="1"/>
  <c r="J27" i="12"/>
  <c r="C30" i="12"/>
  <c r="C29" i="12"/>
  <c r="J28" i="12"/>
  <c r="B18" i="12"/>
  <c r="F17" i="12"/>
  <c r="H17" i="12" s="1"/>
  <c r="I17" i="12"/>
  <c r="G14" i="11"/>
  <c r="K14" i="11" s="1"/>
  <c r="M14" i="11"/>
  <c r="I15" i="11"/>
  <c r="B16" i="11"/>
  <c r="F15" i="11"/>
  <c r="H15" i="11" s="1"/>
  <c r="J29" i="11"/>
  <c r="C32" i="11"/>
  <c r="C31" i="11"/>
  <c r="J30" i="11"/>
  <c r="C27" i="9"/>
  <c r="J27" i="9" s="1"/>
  <c r="C28" i="9"/>
  <c r="J26" i="9"/>
  <c r="G14" i="9"/>
  <c r="K14" i="9" s="1"/>
  <c r="M14" i="9" s="1"/>
  <c r="B16" i="9"/>
  <c r="O16" i="9" s="1"/>
  <c r="I15" i="9"/>
  <c r="F15" i="9"/>
  <c r="H15" i="9" s="1"/>
  <c r="V57" i="5"/>
  <c r="M67" i="5"/>
  <c r="G17" i="12" l="1"/>
  <c r="K17" i="12" s="1"/>
  <c r="B19" i="12"/>
  <c r="I18" i="12"/>
  <c r="O18" i="12"/>
  <c r="F18" i="12"/>
  <c r="H18" i="12" s="1"/>
  <c r="C32" i="12"/>
  <c r="C31" i="12"/>
  <c r="J30" i="12"/>
  <c r="J29" i="12"/>
  <c r="M17" i="12"/>
  <c r="N16" i="12" s="1"/>
  <c r="G15" i="11"/>
  <c r="K15" i="11" s="1"/>
  <c r="M15" i="11" s="1"/>
  <c r="N14" i="11" s="1"/>
  <c r="I16" i="11"/>
  <c r="O16" i="11"/>
  <c r="F16" i="11"/>
  <c r="H16" i="11" s="1"/>
  <c r="B17" i="11"/>
  <c r="J31" i="11"/>
  <c r="C33" i="11"/>
  <c r="C34" i="11"/>
  <c r="J32" i="11"/>
  <c r="C30" i="9"/>
  <c r="J28" i="9"/>
  <c r="C29" i="9"/>
  <c r="J29" i="9" s="1"/>
  <c r="G15" i="9"/>
  <c r="K15" i="9" s="1"/>
  <c r="M15" i="9" s="1"/>
  <c r="N14" i="9" s="1"/>
  <c r="I16" i="9"/>
  <c r="B17" i="9"/>
  <c r="F16" i="9"/>
  <c r="H16" i="9" s="1"/>
  <c r="V58" i="5"/>
  <c r="M68" i="5"/>
  <c r="G18" i="12" l="1"/>
  <c r="K18" i="12" s="1"/>
  <c r="J31" i="12"/>
  <c r="C34" i="12"/>
  <c r="J32" i="12"/>
  <c r="C33" i="12"/>
  <c r="M18" i="12"/>
  <c r="F19" i="12"/>
  <c r="H19" i="12" s="1"/>
  <c r="I19" i="12"/>
  <c r="B20" i="12"/>
  <c r="G16" i="11"/>
  <c r="K16" i="11" s="1"/>
  <c r="M16" i="11" s="1"/>
  <c r="C36" i="11"/>
  <c r="J34" i="11"/>
  <c r="C35" i="11"/>
  <c r="I17" i="11"/>
  <c r="B18" i="11"/>
  <c r="F17" i="11"/>
  <c r="H17" i="11" s="1"/>
  <c r="J33" i="11"/>
  <c r="J30" i="9"/>
  <c r="C31" i="9"/>
  <c r="J31" i="9" s="1"/>
  <c r="C32" i="9"/>
  <c r="G16" i="9"/>
  <c r="K16" i="9" s="1"/>
  <c r="M16" i="9" s="1"/>
  <c r="I17" i="9"/>
  <c r="F17" i="9"/>
  <c r="H17" i="9" s="1"/>
  <c r="B18" i="9"/>
  <c r="O18" i="9" s="1"/>
  <c r="V59" i="5"/>
  <c r="M69" i="5"/>
  <c r="B21" i="12" l="1"/>
  <c r="I20" i="12"/>
  <c r="O20" i="12"/>
  <c r="F20" i="12"/>
  <c r="H20" i="12" s="1"/>
  <c r="J33" i="12"/>
  <c r="G19" i="12"/>
  <c r="K19" i="12" s="1"/>
  <c r="M19" i="12" s="1"/>
  <c r="N18" i="12" s="1"/>
  <c r="C36" i="12"/>
  <c r="J34" i="12"/>
  <c r="C35" i="12"/>
  <c r="I18" i="11"/>
  <c r="O18" i="11"/>
  <c r="B19" i="11"/>
  <c r="F18" i="11"/>
  <c r="H18" i="11" s="1"/>
  <c r="M17" i="11"/>
  <c r="N16" i="11" s="1"/>
  <c r="J35" i="11"/>
  <c r="C38" i="11"/>
  <c r="J36" i="11"/>
  <c r="C37" i="11"/>
  <c r="G17" i="11"/>
  <c r="K17" i="11" s="1"/>
  <c r="C33" i="9"/>
  <c r="J33" i="9" s="1"/>
  <c r="J32" i="9"/>
  <c r="C34" i="9"/>
  <c r="G17" i="9"/>
  <c r="K17" i="9" s="1"/>
  <c r="M17" i="9" s="1"/>
  <c r="N16" i="9" s="1"/>
  <c r="F18" i="9"/>
  <c r="H18" i="9" s="1"/>
  <c r="I18" i="9"/>
  <c r="B19" i="9"/>
  <c r="V60" i="5"/>
  <c r="M70" i="5"/>
  <c r="G20" i="12" l="1"/>
  <c r="K20" i="12" s="1"/>
  <c r="M20" i="12" s="1"/>
  <c r="J35" i="12"/>
  <c r="C38" i="12"/>
  <c r="J36" i="12"/>
  <c r="C37" i="12"/>
  <c r="F21" i="12"/>
  <c r="H21" i="12" s="1"/>
  <c r="I21" i="12"/>
  <c r="B22" i="12"/>
  <c r="G18" i="11"/>
  <c r="K18" i="11" s="1"/>
  <c r="M18" i="11" s="1"/>
  <c r="J37" i="11"/>
  <c r="B20" i="11"/>
  <c r="F19" i="11"/>
  <c r="H19" i="11" s="1"/>
  <c r="I19" i="11"/>
  <c r="C40" i="11"/>
  <c r="C39" i="11"/>
  <c r="J38" i="11"/>
  <c r="C35" i="9"/>
  <c r="J35" i="9" s="1"/>
  <c r="C36" i="9"/>
  <c r="J34" i="9"/>
  <c r="G18" i="9"/>
  <c r="K18" i="9" s="1"/>
  <c r="M18" i="9" s="1"/>
  <c r="I19" i="9"/>
  <c r="F19" i="9"/>
  <c r="H19" i="9" s="1"/>
  <c r="B20" i="9"/>
  <c r="O20" i="9" s="1"/>
  <c r="V61" i="5"/>
  <c r="M71" i="5"/>
  <c r="J37" i="12" l="1"/>
  <c r="G21" i="12"/>
  <c r="K21" i="12" s="1"/>
  <c r="M21" i="12"/>
  <c r="N20" i="12" s="1"/>
  <c r="C39" i="12"/>
  <c r="C40" i="12"/>
  <c r="J38" i="12"/>
  <c r="B23" i="12"/>
  <c r="I22" i="12"/>
  <c r="O22" i="12"/>
  <c r="F22" i="12"/>
  <c r="H22" i="12" s="1"/>
  <c r="G22" i="12"/>
  <c r="K22" i="12" s="1"/>
  <c r="G19" i="11"/>
  <c r="K19" i="11" s="1"/>
  <c r="M19" i="11" s="1"/>
  <c r="N18" i="11" s="1"/>
  <c r="I20" i="11"/>
  <c r="O20" i="11"/>
  <c r="F20" i="11"/>
  <c r="H20" i="11" s="1"/>
  <c r="B21" i="11"/>
  <c r="J39" i="11"/>
  <c r="C41" i="11"/>
  <c r="C42" i="11"/>
  <c r="J40" i="11"/>
  <c r="C37" i="9"/>
  <c r="J37" i="9" s="1"/>
  <c r="J36" i="9"/>
  <c r="C38" i="9"/>
  <c r="F20" i="9"/>
  <c r="H20" i="9" s="1"/>
  <c r="I20" i="9"/>
  <c r="B21" i="9"/>
  <c r="G19" i="9"/>
  <c r="K19" i="9" s="1"/>
  <c r="M19" i="9" s="1"/>
  <c r="N18" i="9" s="1"/>
  <c r="V62" i="5"/>
  <c r="M72" i="5"/>
  <c r="J40" i="12" l="1"/>
  <c r="C41" i="12"/>
  <c r="C42" i="12"/>
  <c r="I23" i="12"/>
  <c r="B24" i="12"/>
  <c r="F23" i="12"/>
  <c r="H23" i="12" s="1"/>
  <c r="M22" i="12"/>
  <c r="J39" i="12"/>
  <c r="G20" i="11"/>
  <c r="K20" i="11" s="1"/>
  <c r="C44" i="11"/>
  <c r="J42" i="11"/>
  <c r="C43" i="11"/>
  <c r="I21" i="11"/>
  <c r="B22" i="11"/>
  <c r="F21" i="11"/>
  <c r="H21" i="11" s="1"/>
  <c r="M20" i="11"/>
  <c r="J41" i="11"/>
  <c r="J38" i="9"/>
  <c r="C40" i="9"/>
  <c r="C39" i="9"/>
  <c r="J39" i="9" s="1"/>
  <c r="G20" i="9"/>
  <c r="K20" i="9" s="1"/>
  <c r="M20" i="9" s="1"/>
  <c r="I21" i="9"/>
  <c r="B22" i="9"/>
  <c r="O22" i="9" s="1"/>
  <c r="F21" i="9"/>
  <c r="H21" i="9" s="1"/>
  <c r="V63" i="5"/>
  <c r="M73" i="5"/>
  <c r="G23" i="12" l="1"/>
  <c r="K23" i="12" s="1"/>
  <c r="B25" i="12"/>
  <c r="I24" i="12"/>
  <c r="F24" i="12"/>
  <c r="H24" i="12" s="1"/>
  <c r="O24" i="12"/>
  <c r="G24" i="12"/>
  <c r="K24" i="12" s="1"/>
  <c r="M23" i="12"/>
  <c r="N22" i="12" s="1"/>
  <c r="J42" i="12"/>
  <c r="C43" i="12"/>
  <c r="C44" i="12"/>
  <c r="J41" i="12"/>
  <c r="G21" i="11"/>
  <c r="K21" i="11" s="1"/>
  <c r="M21" i="11" s="1"/>
  <c r="N20" i="11" s="1"/>
  <c r="O22" i="11"/>
  <c r="F22" i="11"/>
  <c r="H22" i="11" s="1"/>
  <c r="I22" i="11"/>
  <c r="B23" i="11"/>
  <c r="J43" i="11"/>
  <c r="C45" i="11"/>
  <c r="J44" i="11"/>
  <c r="J40" i="9"/>
  <c r="C42" i="9"/>
  <c r="C41" i="9"/>
  <c r="J41" i="9" s="1"/>
  <c r="I22" i="9"/>
  <c r="F22" i="9"/>
  <c r="H22" i="9" s="1"/>
  <c r="B23" i="9"/>
  <c r="G21" i="9"/>
  <c r="K21" i="9" s="1"/>
  <c r="M21" i="9" s="1"/>
  <c r="N20" i="9" s="1"/>
  <c r="V64" i="5"/>
  <c r="M74" i="5"/>
  <c r="G22" i="11" l="1"/>
  <c r="K22" i="11" s="1"/>
  <c r="I25" i="12"/>
  <c r="B26" i="12"/>
  <c r="F25" i="12"/>
  <c r="H25" i="12" s="1"/>
  <c r="M24" i="12"/>
  <c r="C46" i="12"/>
  <c r="J44" i="12"/>
  <c r="C45" i="12"/>
  <c r="J43" i="12"/>
  <c r="J45" i="11"/>
  <c r="M22" i="11"/>
  <c r="I23" i="11"/>
  <c r="B24" i="11"/>
  <c r="F23" i="11"/>
  <c r="H23" i="11" s="1"/>
  <c r="J42" i="9"/>
  <c r="C43" i="9"/>
  <c r="J43" i="9" s="1"/>
  <c r="C44" i="9"/>
  <c r="G22" i="9"/>
  <c r="K22" i="9" s="1"/>
  <c r="M22" i="9" s="1"/>
  <c r="I23" i="9"/>
  <c r="F23" i="9"/>
  <c r="H23" i="9" s="1"/>
  <c r="B24" i="9"/>
  <c r="O24" i="9" s="1"/>
  <c r="V65" i="5"/>
  <c r="M75" i="5"/>
  <c r="G25" i="12" l="1"/>
  <c r="K25" i="12" s="1"/>
  <c r="C48" i="12"/>
  <c r="J46" i="12"/>
  <c r="C47" i="12"/>
  <c r="J45" i="12"/>
  <c r="M25" i="12"/>
  <c r="N24" i="12" s="1"/>
  <c r="O26" i="12"/>
  <c r="F26" i="12"/>
  <c r="H26" i="12" s="1"/>
  <c r="B27" i="12"/>
  <c r="I26" i="12"/>
  <c r="G23" i="11"/>
  <c r="K23" i="11" s="1"/>
  <c r="M23" i="11"/>
  <c r="I24" i="11"/>
  <c r="B25" i="11"/>
  <c r="O24" i="11"/>
  <c r="F24" i="11"/>
  <c r="H24" i="11" s="1"/>
  <c r="N22" i="11"/>
  <c r="C45" i="9"/>
  <c r="J45" i="9" s="1"/>
  <c r="J44" i="9"/>
  <c r="I24" i="9"/>
  <c r="B25" i="9"/>
  <c r="F24" i="9"/>
  <c r="H24" i="9" s="1"/>
  <c r="G23" i="9"/>
  <c r="K23" i="9" s="1"/>
  <c r="M23" i="9" s="1"/>
  <c r="N22" i="9" s="1"/>
  <c r="V66" i="5"/>
  <c r="M76" i="5"/>
  <c r="G26" i="12" l="1"/>
  <c r="K26" i="12" s="1"/>
  <c r="M26" i="12"/>
  <c r="I27" i="12"/>
  <c r="B28" i="12"/>
  <c r="F27" i="12"/>
  <c r="H27" i="12" s="1"/>
  <c r="J47" i="12"/>
  <c r="C50" i="12"/>
  <c r="J48" i="12"/>
  <c r="C49" i="12"/>
  <c r="G24" i="11"/>
  <c r="K24" i="11" s="1"/>
  <c r="M24" i="11" s="1"/>
  <c r="I25" i="11"/>
  <c r="B26" i="11"/>
  <c r="F25" i="11"/>
  <c r="H25" i="11" s="1"/>
  <c r="G24" i="9"/>
  <c r="K24" i="9" s="1"/>
  <c r="M24" i="9" s="1"/>
  <c r="I25" i="9"/>
  <c r="F25" i="9"/>
  <c r="H25" i="9" s="1"/>
  <c r="B26" i="9"/>
  <c r="O26" i="9" s="1"/>
  <c r="V67" i="5"/>
  <c r="M77" i="5"/>
  <c r="C52" i="12" l="1"/>
  <c r="J50" i="12"/>
  <c r="C51" i="12"/>
  <c r="G27" i="12"/>
  <c r="K27" i="12" s="1"/>
  <c r="M27" i="12"/>
  <c r="N26" i="12" s="1"/>
  <c r="O28" i="12"/>
  <c r="F28" i="12"/>
  <c r="H28" i="12" s="1"/>
  <c r="B29" i="12"/>
  <c r="I28" i="12"/>
  <c r="J49" i="12"/>
  <c r="G25" i="11"/>
  <c r="K25" i="11" s="1"/>
  <c r="M25" i="11" s="1"/>
  <c r="N24" i="11" s="1"/>
  <c r="I26" i="11"/>
  <c r="B27" i="11"/>
  <c r="O26" i="11"/>
  <c r="F26" i="11"/>
  <c r="H26" i="11" s="1"/>
  <c r="G25" i="9"/>
  <c r="K25" i="9" s="1"/>
  <c r="M25" i="9" s="1"/>
  <c r="N24" i="9" s="1"/>
  <c r="B27" i="9"/>
  <c r="F26" i="9"/>
  <c r="H26" i="9" s="1"/>
  <c r="I26" i="9"/>
  <c r="V68" i="5"/>
  <c r="M78" i="5"/>
  <c r="J51" i="12" l="1"/>
  <c r="G28" i="12"/>
  <c r="K28" i="12" s="1"/>
  <c r="M28" i="12" s="1"/>
  <c r="C54" i="12"/>
  <c r="J52" i="12"/>
  <c r="C53" i="12"/>
  <c r="I29" i="12"/>
  <c r="B30" i="12"/>
  <c r="F29" i="12"/>
  <c r="H29" i="12" s="1"/>
  <c r="G26" i="11"/>
  <c r="K26" i="11" s="1"/>
  <c r="M26" i="11" s="1"/>
  <c r="B28" i="11"/>
  <c r="F27" i="11"/>
  <c r="H27" i="11" s="1"/>
  <c r="I27" i="11"/>
  <c r="G27" i="11"/>
  <c r="K27" i="11" s="1"/>
  <c r="G26" i="9"/>
  <c r="K26" i="9" s="1"/>
  <c r="M26" i="9" s="1"/>
  <c r="F27" i="9"/>
  <c r="H27" i="9" s="1"/>
  <c r="B28" i="9"/>
  <c r="O28" i="9" s="1"/>
  <c r="I27" i="9"/>
  <c r="V69" i="5"/>
  <c r="M79" i="5"/>
  <c r="G29" i="12" l="1"/>
  <c r="K29" i="12" s="1"/>
  <c r="M29" i="12" s="1"/>
  <c r="N28" i="12" s="1"/>
  <c r="J53" i="12"/>
  <c r="C55" i="12"/>
  <c r="J54" i="12"/>
  <c r="F30" i="12"/>
  <c r="H30" i="12" s="1"/>
  <c r="B31" i="12"/>
  <c r="I30" i="12"/>
  <c r="O30" i="12"/>
  <c r="M27" i="11"/>
  <c r="I28" i="11"/>
  <c r="F28" i="11"/>
  <c r="H28" i="11" s="1"/>
  <c r="B29" i="11"/>
  <c r="O28" i="11"/>
  <c r="N26" i="11"/>
  <c r="G27" i="9"/>
  <c r="K27" i="9" s="1"/>
  <c r="M27" i="9" s="1"/>
  <c r="N26" i="9" s="1"/>
  <c r="I28" i="9"/>
  <c r="B29" i="9"/>
  <c r="F28" i="9"/>
  <c r="H28" i="9" s="1"/>
  <c r="V70" i="5"/>
  <c r="M80" i="5"/>
  <c r="G28" i="11" l="1"/>
  <c r="K28" i="11" s="1"/>
  <c r="G30" i="12"/>
  <c r="K30" i="12" s="1"/>
  <c r="M30" i="12" s="1"/>
  <c r="J55" i="12"/>
  <c r="I31" i="12"/>
  <c r="B32" i="12"/>
  <c r="F31" i="12"/>
  <c r="H31" i="12" s="1"/>
  <c r="I29" i="11"/>
  <c r="B30" i="11"/>
  <c r="F29" i="11"/>
  <c r="H29" i="11" s="1"/>
  <c r="M28" i="11"/>
  <c r="F29" i="9"/>
  <c r="H29" i="9" s="1"/>
  <c r="I29" i="9"/>
  <c r="B30" i="9"/>
  <c r="O30" i="9" s="1"/>
  <c r="G28" i="9"/>
  <c r="K28" i="9" s="1"/>
  <c r="M28" i="9" s="1"/>
  <c r="V71" i="5"/>
  <c r="M81" i="5"/>
  <c r="G31" i="12" l="1"/>
  <c r="K31" i="12" s="1"/>
  <c r="M31" i="12" s="1"/>
  <c r="N30" i="12" s="1"/>
  <c r="F32" i="12"/>
  <c r="H32" i="12" s="1"/>
  <c r="I32" i="12"/>
  <c r="B33" i="12"/>
  <c r="O32" i="12"/>
  <c r="G29" i="11"/>
  <c r="K29" i="11" s="1"/>
  <c r="M29" i="11" s="1"/>
  <c r="N28" i="11" s="1"/>
  <c r="O30" i="11"/>
  <c r="F30" i="11"/>
  <c r="H30" i="11" s="1"/>
  <c r="B31" i="11"/>
  <c r="I30" i="11"/>
  <c r="G29" i="9"/>
  <c r="K29" i="9" s="1"/>
  <c r="M29" i="9" s="1"/>
  <c r="N28" i="9" s="1"/>
  <c r="F30" i="9"/>
  <c r="H30" i="9" s="1"/>
  <c r="B31" i="9"/>
  <c r="I30" i="9"/>
  <c r="V72" i="5"/>
  <c r="M82" i="5"/>
  <c r="G32" i="12" l="1"/>
  <c r="K32" i="12" s="1"/>
  <c r="G30" i="11"/>
  <c r="K30" i="11" s="1"/>
  <c r="I33" i="12"/>
  <c r="B34" i="12"/>
  <c r="F33" i="12"/>
  <c r="H33" i="12" s="1"/>
  <c r="M32" i="12"/>
  <c r="I31" i="11"/>
  <c r="F31" i="11"/>
  <c r="H31" i="11" s="1"/>
  <c r="B32" i="11"/>
  <c r="M30" i="11"/>
  <c r="G30" i="9"/>
  <c r="K30" i="9" s="1"/>
  <c r="B32" i="9"/>
  <c r="O32" i="9" s="1"/>
  <c r="F31" i="9"/>
  <c r="H31" i="9" s="1"/>
  <c r="I31" i="9"/>
  <c r="M30" i="9"/>
  <c r="V73" i="5"/>
  <c r="M83" i="5"/>
  <c r="G33" i="12" l="1"/>
  <c r="K33" i="12" s="1"/>
  <c r="M33" i="12" s="1"/>
  <c r="N32" i="12" s="1"/>
  <c r="O34" i="12"/>
  <c r="F34" i="12"/>
  <c r="H34" i="12" s="1"/>
  <c r="I34" i="12"/>
  <c r="B35" i="12"/>
  <c r="G31" i="11"/>
  <c r="K31" i="11" s="1"/>
  <c r="M31" i="11" s="1"/>
  <c r="N30" i="11" s="1"/>
  <c r="I32" i="11"/>
  <c r="B33" i="11"/>
  <c r="O32" i="11"/>
  <c r="F32" i="11"/>
  <c r="H32" i="11" s="1"/>
  <c r="G31" i="9"/>
  <c r="K31" i="9" s="1"/>
  <c r="M31" i="9" s="1"/>
  <c r="N30" i="9" s="1"/>
  <c r="B33" i="9"/>
  <c r="I32" i="9"/>
  <c r="F32" i="9"/>
  <c r="H32" i="9" s="1"/>
  <c r="V74" i="5"/>
  <c r="M84" i="5"/>
  <c r="G34" i="12" l="1"/>
  <c r="K34" i="12" s="1"/>
  <c r="M34" i="12" s="1"/>
  <c r="I35" i="12"/>
  <c r="B36" i="12"/>
  <c r="F35" i="12"/>
  <c r="H35" i="12" s="1"/>
  <c r="G32" i="11"/>
  <c r="K32" i="11" s="1"/>
  <c r="M32" i="11" s="1"/>
  <c r="I33" i="11"/>
  <c r="F33" i="11"/>
  <c r="H33" i="11" s="1"/>
  <c r="B34" i="11"/>
  <c r="F33" i="9"/>
  <c r="H33" i="9" s="1"/>
  <c r="I33" i="9"/>
  <c r="B34" i="9"/>
  <c r="O34" i="9" s="1"/>
  <c r="G32" i="9"/>
  <c r="K32" i="9" s="1"/>
  <c r="M32" i="9" s="1"/>
  <c r="V75" i="5"/>
  <c r="M85" i="5"/>
  <c r="G35" i="12" l="1"/>
  <c r="K35" i="12" s="1"/>
  <c r="M35" i="12" s="1"/>
  <c r="N34" i="12" s="1"/>
  <c r="B37" i="12"/>
  <c r="O36" i="12"/>
  <c r="F36" i="12"/>
  <c r="H36" i="12" s="1"/>
  <c r="I36" i="12"/>
  <c r="G33" i="11"/>
  <c r="K33" i="11" s="1"/>
  <c r="M33" i="11" s="1"/>
  <c r="N32" i="11" s="1"/>
  <c r="I34" i="11"/>
  <c r="B35" i="11"/>
  <c r="O34" i="11"/>
  <c r="F34" i="11"/>
  <c r="H34" i="11" s="1"/>
  <c r="G33" i="9"/>
  <c r="K33" i="9" s="1"/>
  <c r="M33" i="9" s="1"/>
  <c r="N32" i="9" s="1"/>
  <c r="I34" i="9"/>
  <c r="B35" i="9"/>
  <c r="F34" i="9"/>
  <c r="H34" i="9" s="1"/>
  <c r="V76" i="5"/>
  <c r="M86" i="5"/>
  <c r="G36" i="12" l="1"/>
  <c r="K36" i="12" s="1"/>
  <c r="M36" i="12"/>
  <c r="I37" i="12"/>
  <c r="B38" i="12"/>
  <c r="F37" i="12"/>
  <c r="H37" i="12" s="1"/>
  <c r="G34" i="11"/>
  <c r="K34" i="11" s="1"/>
  <c r="M34" i="11"/>
  <c r="B36" i="11"/>
  <c r="F35" i="11"/>
  <c r="H35" i="11" s="1"/>
  <c r="I35" i="11"/>
  <c r="B36" i="9"/>
  <c r="O36" i="9" s="1"/>
  <c r="F35" i="9"/>
  <c r="H35" i="9" s="1"/>
  <c r="I35" i="9"/>
  <c r="G34" i="9"/>
  <c r="K34" i="9" s="1"/>
  <c r="M34" i="9" s="1"/>
  <c r="V77" i="5"/>
  <c r="M87" i="5"/>
  <c r="G37" i="12" l="1"/>
  <c r="K37" i="12" s="1"/>
  <c r="M37" i="12"/>
  <c r="N36" i="12" s="1"/>
  <c r="I38" i="12"/>
  <c r="B39" i="12"/>
  <c r="O38" i="12"/>
  <c r="F38" i="12"/>
  <c r="H38" i="12" s="1"/>
  <c r="G35" i="11"/>
  <c r="K35" i="11" s="1"/>
  <c r="M35" i="11" s="1"/>
  <c r="N34" i="11" s="1"/>
  <c r="I36" i="11"/>
  <c r="B37" i="11"/>
  <c r="O36" i="11"/>
  <c r="F36" i="11"/>
  <c r="H36" i="11" s="1"/>
  <c r="I36" i="9"/>
  <c r="B37" i="9"/>
  <c r="F36" i="9"/>
  <c r="H36" i="9" s="1"/>
  <c r="G35" i="9"/>
  <c r="K35" i="9" s="1"/>
  <c r="M35" i="9" s="1"/>
  <c r="N34" i="9" s="1"/>
  <c r="V78" i="5"/>
  <c r="M88" i="5"/>
  <c r="G38" i="12" l="1"/>
  <c r="K38" i="12" s="1"/>
  <c r="M38" i="12" s="1"/>
  <c r="I39" i="12"/>
  <c r="B40" i="12"/>
  <c r="F39" i="12"/>
  <c r="H39" i="12" s="1"/>
  <c r="G36" i="11"/>
  <c r="K36" i="11" s="1"/>
  <c r="M36" i="11" s="1"/>
  <c r="I37" i="11"/>
  <c r="B38" i="11"/>
  <c r="F37" i="11"/>
  <c r="H37" i="11" s="1"/>
  <c r="F37" i="9"/>
  <c r="H37" i="9" s="1"/>
  <c r="I37" i="9"/>
  <c r="B38" i="9"/>
  <c r="O38" i="9" s="1"/>
  <c r="G36" i="9"/>
  <c r="K36" i="9" s="1"/>
  <c r="M36" i="9" s="1"/>
  <c r="V79" i="5"/>
  <c r="M89" i="5"/>
  <c r="G39" i="12" l="1"/>
  <c r="K39" i="12" s="1"/>
  <c r="M39" i="12"/>
  <c r="N38" i="12" s="1"/>
  <c r="I40" i="12"/>
  <c r="B41" i="12"/>
  <c r="O40" i="12"/>
  <c r="F40" i="12"/>
  <c r="H40" i="12" s="1"/>
  <c r="G37" i="11"/>
  <c r="K37" i="11" s="1"/>
  <c r="M37" i="11" s="1"/>
  <c r="N36" i="11" s="1"/>
  <c r="O38" i="11"/>
  <c r="F38" i="11"/>
  <c r="H38" i="11" s="1"/>
  <c r="I38" i="11"/>
  <c r="B39" i="11"/>
  <c r="G37" i="9"/>
  <c r="K37" i="9" s="1"/>
  <c r="M37" i="9" s="1"/>
  <c r="N36" i="9" s="1"/>
  <c r="B39" i="9"/>
  <c r="I38" i="9"/>
  <c r="F38" i="9"/>
  <c r="H38" i="9" s="1"/>
  <c r="V80" i="5"/>
  <c r="M90" i="5"/>
  <c r="G40" i="12" l="1"/>
  <c r="K40" i="12" s="1"/>
  <c r="M40" i="12" s="1"/>
  <c r="F41" i="12"/>
  <c r="H41" i="12" s="1"/>
  <c r="I41" i="12"/>
  <c r="B42" i="12"/>
  <c r="G38" i="11"/>
  <c r="K38" i="11" s="1"/>
  <c r="M38" i="11" s="1"/>
  <c r="I39" i="11"/>
  <c r="B40" i="11"/>
  <c r="F39" i="11"/>
  <c r="H39" i="11" s="1"/>
  <c r="G38" i="9"/>
  <c r="K38" i="9" s="1"/>
  <c r="M38" i="9" s="1"/>
  <c r="I39" i="9"/>
  <c r="F39" i="9"/>
  <c r="H39" i="9" s="1"/>
  <c r="B40" i="9"/>
  <c r="O40" i="9" s="1"/>
  <c r="V81" i="5"/>
  <c r="M91" i="5"/>
  <c r="G41" i="12" l="1"/>
  <c r="K41" i="12" s="1"/>
  <c r="M41" i="12" s="1"/>
  <c r="N40" i="12" s="1"/>
  <c r="I42" i="12"/>
  <c r="B43" i="12"/>
  <c r="O42" i="12"/>
  <c r="F42" i="12"/>
  <c r="H42" i="12" s="1"/>
  <c r="G39" i="11"/>
  <c r="K39" i="11" s="1"/>
  <c r="M39" i="11" s="1"/>
  <c r="N38" i="11" s="1"/>
  <c r="I40" i="11"/>
  <c r="B41" i="11"/>
  <c r="O40" i="11"/>
  <c r="F40" i="11"/>
  <c r="H40" i="11" s="1"/>
  <c r="G39" i="9"/>
  <c r="K39" i="9" s="1"/>
  <c r="I40" i="9"/>
  <c r="F40" i="9"/>
  <c r="H40" i="9" s="1"/>
  <c r="B41" i="9"/>
  <c r="M39" i="9"/>
  <c r="N38" i="9" s="1"/>
  <c r="V82" i="5"/>
  <c r="M92" i="5"/>
  <c r="R92" i="5" s="1"/>
  <c r="G42" i="12" l="1"/>
  <c r="K42" i="12" s="1"/>
  <c r="M42" i="12" s="1"/>
  <c r="B44" i="12"/>
  <c r="F43" i="12"/>
  <c r="H43" i="12" s="1"/>
  <c r="I43" i="12"/>
  <c r="G43" i="12"/>
  <c r="K43" i="12" s="1"/>
  <c r="G40" i="11"/>
  <c r="K40" i="11" s="1"/>
  <c r="M40" i="11" s="1"/>
  <c r="I41" i="11"/>
  <c r="B42" i="11"/>
  <c r="F41" i="11"/>
  <c r="H41" i="11" s="1"/>
  <c r="G40" i="9"/>
  <c r="K40" i="9" s="1"/>
  <c r="M40" i="9" s="1"/>
  <c r="B42" i="9"/>
  <c r="O42" i="9" s="1"/>
  <c r="F41" i="9"/>
  <c r="H41" i="9" s="1"/>
  <c r="I41" i="9"/>
  <c r="V83" i="5"/>
  <c r="M43" i="12" l="1"/>
  <c r="N42" i="12" s="1"/>
  <c r="I44" i="12"/>
  <c r="B45" i="12"/>
  <c r="O44" i="12"/>
  <c r="F44" i="12"/>
  <c r="H44" i="12" s="1"/>
  <c r="G41" i="11"/>
  <c r="K41" i="11" s="1"/>
  <c r="M41" i="11" s="1"/>
  <c r="N40" i="11" s="1"/>
  <c r="I42" i="11"/>
  <c r="B43" i="11"/>
  <c r="O42" i="11"/>
  <c r="F42" i="11"/>
  <c r="H42" i="11" s="1"/>
  <c r="G41" i="9"/>
  <c r="K41" i="9" s="1"/>
  <c r="M41" i="9" s="1"/>
  <c r="N40" i="9" s="1"/>
  <c r="F42" i="9"/>
  <c r="H42" i="9" s="1"/>
  <c r="B43" i="9"/>
  <c r="I42" i="9"/>
  <c r="V84" i="5"/>
  <c r="G44" i="12" l="1"/>
  <c r="K44" i="12" s="1"/>
  <c r="M44" i="12" s="1"/>
  <c r="B46" i="12"/>
  <c r="F45" i="12"/>
  <c r="H45" i="12" s="1"/>
  <c r="I45" i="12"/>
  <c r="G42" i="11"/>
  <c r="K42" i="11" s="1"/>
  <c r="M42" i="11" s="1"/>
  <c r="B44" i="11"/>
  <c r="F43" i="11"/>
  <c r="H43" i="11" s="1"/>
  <c r="I43" i="11"/>
  <c r="B44" i="9"/>
  <c r="O44" i="9" s="1"/>
  <c r="I43" i="9"/>
  <c r="F43" i="9"/>
  <c r="H43" i="9" s="1"/>
  <c r="G42" i="9"/>
  <c r="K42" i="9" s="1"/>
  <c r="M42" i="9" s="1"/>
  <c r="V85" i="5"/>
  <c r="G45" i="12" l="1"/>
  <c r="K45" i="12" s="1"/>
  <c r="M45" i="12" s="1"/>
  <c r="N44" i="12" s="1"/>
  <c r="I46" i="12"/>
  <c r="B47" i="12"/>
  <c r="O46" i="12"/>
  <c r="F46" i="12"/>
  <c r="H46" i="12" s="1"/>
  <c r="G43" i="11"/>
  <c r="K43" i="11" s="1"/>
  <c r="M43" i="11" s="1"/>
  <c r="N42" i="11" s="1"/>
  <c r="B45" i="11"/>
  <c r="B46" i="11" s="1"/>
  <c r="I44" i="11"/>
  <c r="O44" i="11"/>
  <c r="F44" i="11"/>
  <c r="H44" i="11" s="1"/>
  <c r="I44" i="9"/>
  <c r="B45" i="9"/>
  <c r="F44" i="9"/>
  <c r="H44" i="9" s="1"/>
  <c r="G43" i="9"/>
  <c r="K43" i="9" s="1"/>
  <c r="M43" i="9" s="1"/>
  <c r="N42" i="9" s="1"/>
  <c r="V86" i="5"/>
  <c r="G46" i="12" l="1"/>
  <c r="K46" i="12" s="1"/>
  <c r="M46" i="12"/>
  <c r="I47" i="12"/>
  <c r="B48" i="12"/>
  <c r="F47" i="12"/>
  <c r="H47" i="12" s="1"/>
  <c r="G47" i="12"/>
  <c r="K47" i="12" s="1"/>
  <c r="G44" i="11"/>
  <c r="K44" i="11" s="1"/>
  <c r="M44" i="11" s="1"/>
  <c r="I46" i="11"/>
  <c r="F46" i="11"/>
  <c r="H46" i="11" s="1"/>
  <c r="B47" i="11"/>
  <c r="O46" i="11"/>
  <c r="I45" i="11"/>
  <c r="F45" i="11"/>
  <c r="H45" i="11" s="1"/>
  <c r="G44" i="9"/>
  <c r="K44" i="9" s="1"/>
  <c r="M44" i="9" s="1"/>
  <c r="F45" i="9"/>
  <c r="H45" i="9" s="1"/>
  <c r="I45" i="9"/>
  <c r="V87" i="5"/>
  <c r="M47" i="12" l="1"/>
  <c r="N46" i="12" s="1"/>
  <c r="F48" i="12"/>
  <c r="H48" i="12" s="1"/>
  <c r="I48" i="12"/>
  <c r="B49" i="12"/>
  <c r="O48" i="12"/>
  <c r="G46" i="11"/>
  <c r="K46" i="11" s="1"/>
  <c r="M46" i="11" s="1"/>
  <c r="B48" i="11"/>
  <c r="I47" i="11"/>
  <c r="F47" i="11"/>
  <c r="H47" i="11" s="1"/>
  <c r="G45" i="11"/>
  <c r="K45" i="11" s="1"/>
  <c r="M45" i="11"/>
  <c r="N44" i="11" s="1"/>
  <c r="G45" i="9"/>
  <c r="K45" i="9" s="1"/>
  <c r="M45" i="9" s="1"/>
  <c r="N44" i="9" s="1"/>
  <c r="V88" i="5"/>
  <c r="G48" i="12" l="1"/>
  <c r="K48" i="12" s="1"/>
  <c r="I49" i="12"/>
  <c r="B50" i="12"/>
  <c r="F49" i="12"/>
  <c r="H49" i="12" s="1"/>
  <c r="M48" i="12"/>
  <c r="G47" i="11"/>
  <c r="K47" i="11" s="1"/>
  <c r="M47" i="11" s="1"/>
  <c r="N46" i="11" s="1"/>
  <c r="I48" i="11"/>
  <c r="F48" i="11"/>
  <c r="H48" i="11" s="1"/>
  <c r="O48" i="11"/>
  <c r="B49" i="11"/>
  <c r="V89" i="5"/>
  <c r="G49" i="12" l="1"/>
  <c r="K49" i="12" s="1"/>
  <c r="M49" i="12"/>
  <c r="N48" i="12" s="1"/>
  <c r="O50" i="12"/>
  <c r="F50" i="12"/>
  <c r="H50" i="12" s="1"/>
  <c r="I50" i="12"/>
  <c r="B51" i="12"/>
  <c r="G48" i="11"/>
  <c r="K48" i="11" s="1"/>
  <c r="M48" i="11" s="1"/>
  <c r="B50" i="11"/>
  <c r="I49" i="11"/>
  <c r="F49" i="11"/>
  <c r="H49" i="11" s="1"/>
  <c r="V90" i="5"/>
  <c r="G50" i="12" l="1"/>
  <c r="K50" i="12" s="1"/>
  <c r="M50" i="12" s="1"/>
  <c r="I51" i="12"/>
  <c r="B52" i="12"/>
  <c r="F51" i="12"/>
  <c r="H51" i="12" s="1"/>
  <c r="G49" i="11"/>
  <c r="K49" i="11" s="1"/>
  <c r="M49" i="11" s="1"/>
  <c r="N48" i="11" s="1"/>
  <c r="I50" i="11"/>
  <c r="O50" i="11"/>
  <c r="B51" i="11"/>
  <c r="F50" i="11"/>
  <c r="H50" i="11" s="1"/>
  <c r="V91" i="5"/>
  <c r="G51" i="12" l="1"/>
  <c r="K51" i="12" s="1"/>
  <c r="M51" i="12" s="1"/>
  <c r="N50" i="12" s="1"/>
  <c r="B53" i="12"/>
  <c r="O52" i="12"/>
  <c r="F52" i="12"/>
  <c r="H52" i="12" s="1"/>
  <c r="I52" i="12"/>
  <c r="B52" i="11"/>
  <c r="I51" i="11"/>
  <c r="F51" i="11"/>
  <c r="H51" i="11" s="1"/>
  <c r="G50" i="11"/>
  <c r="K50" i="11" s="1"/>
  <c r="M50" i="11" s="1"/>
  <c r="V92" i="5"/>
  <c r="G52" i="12" l="1"/>
  <c r="K52" i="12" s="1"/>
  <c r="M52" i="12"/>
  <c r="I53" i="12"/>
  <c r="B54" i="12"/>
  <c r="F53" i="12"/>
  <c r="H53" i="12" s="1"/>
  <c r="G51" i="11"/>
  <c r="K51" i="11" s="1"/>
  <c r="M51" i="11" s="1"/>
  <c r="N50" i="11" s="1"/>
  <c r="I52" i="11"/>
  <c r="F52" i="11"/>
  <c r="H52" i="11" s="1"/>
  <c r="O52" i="11"/>
  <c r="B53" i="11"/>
  <c r="V93" i="5"/>
  <c r="G52" i="11" l="1"/>
  <c r="K52" i="11" s="1"/>
  <c r="M52" i="11" s="1"/>
  <c r="G53" i="12"/>
  <c r="K53" i="12" s="1"/>
  <c r="M53" i="12" s="1"/>
  <c r="N52" i="12" s="1"/>
  <c r="I54" i="12"/>
  <c r="B55" i="12"/>
  <c r="O54" i="12"/>
  <c r="F54" i="12"/>
  <c r="H54" i="12" s="1"/>
  <c r="B54" i="11"/>
  <c r="I53" i="11"/>
  <c r="F53" i="11"/>
  <c r="H53" i="11" s="1"/>
  <c r="V94" i="5"/>
  <c r="G54" i="12" l="1"/>
  <c r="K54" i="12" s="1"/>
  <c r="M54" i="12" s="1"/>
  <c r="I55" i="12"/>
  <c r="F55" i="12"/>
  <c r="H55" i="12" s="1"/>
  <c r="G53" i="11"/>
  <c r="K53" i="11" s="1"/>
  <c r="M53" i="11" s="1"/>
  <c r="N52" i="11" s="1"/>
  <c r="I54" i="11"/>
  <c r="F54" i="11"/>
  <c r="H54" i="11" s="1"/>
  <c r="O54" i="11"/>
  <c r="B55" i="11"/>
  <c r="V95" i="5"/>
  <c r="G55" i="12" l="1"/>
  <c r="K55" i="12" s="1"/>
  <c r="M55" i="12" s="1"/>
  <c r="N54" i="12" s="1"/>
  <c r="F55" i="11"/>
  <c r="H55" i="11" s="1"/>
  <c r="I55" i="11"/>
  <c r="G54" i="11"/>
  <c r="K54" i="11" s="1"/>
  <c r="M54" i="11" s="1"/>
  <c r="V96" i="5"/>
  <c r="G55" i="11" l="1"/>
  <c r="K55" i="11" s="1"/>
  <c r="M55" i="11"/>
  <c r="N54" i="11" s="1"/>
  <c r="V97" i="5"/>
  <c r="V98" i="5" l="1"/>
  <c r="V99" i="5" l="1"/>
  <c r="V100" i="5" l="1"/>
  <c r="V101" i="5" l="1"/>
  <c r="V102" i="5" l="1"/>
  <c r="V103" i="5" l="1"/>
  <c r="V104" i="5" l="1"/>
  <c r="V105" i="5" l="1"/>
  <c r="V106" i="5" l="1"/>
  <c r="V107" i="5" l="1"/>
  <c r="V108" i="5" l="1"/>
  <c r="V109" i="5" l="1"/>
  <c r="V110" i="5" l="1"/>
  <c r="V111" i="5" l="1"/>
  <c r="V112" i="5" l="1"/>
  <c r="V113" i="5" l="1"/>
  <c r="V114" i="5" l="1"/>
  <c r="V115" i="5" l="1"/>
  <c r="V116" i="5" l="1"/>
  <c r="V117" i="5" l="1"/>
  <c r="V118" i="5" l="1"/>
  <c r="V119" i="5" l="1"/>
  <c r="V120" i="5" l="1"/>
  <c r="V121" i="5" l="1"/>
  <c r="V122" i="5" l="1"/>
  <c r="V123" i="5" l="1"/>
  <c r="V124" i="5" l="1"/>
  <c r="V125" i="5" l="1"/>
  <c r="V126" i="5" l="1"/>
  <c r="V127" i="5" l="1"/>
  <c r="V128" i="5" l="1"/>
  <c r="V129" i="5" l="1"/>
  <c r="V130" i="5" l="1"/>
  <c r="V131" i="5" l="1"/>
  <c r="V132" i="5" l="1"/>
  <c r="V133" i="5" l="1"/>
  <c r="V134" i="5" l="1"/>
  <c r="V135" i="5" l="1"/>
  <c r="V136" i="5" l="1"/>
  <c r="V137" i="5" l="1"/>
  <c r="V138" i="5" l="1"/>
  <c r="V139" i="5" l="1"/>
  <c r="V140" i="5" l="1"/>
  <c r="V141" i="5" l="1"/>
  <c r="V142" i="5" l="1"/>
  <c r="V143" i="5" l="1"/>
  <c r="V144" i="5" l="1"/>
  <c r="V145" i="5" l="1"/>
  <c r="V146" i="5" l="1"/>
  <c r="V147" i="5" l="1"/>
  <c r="V148" i="5" l="1"/>
  <c r="V149" i="5" l="1"/>
  <c r="V150" i="5" l="1"/>
  <c r="V151" i="5" l="1"/>
  <c r="V152" i="5" l="1"/>
  <c r="V153" i="5" l="1"/>
  <c r="V154" i="5" l="1"/>
  <c r="V155" i="5" l="1"/>
  <c r="V156" i="5" l="1"/>
  <c r="V157" i="5" l="1"/>
  <c r="V158" i="5" l="1"/>
  <c r="V159" i="5" l="1"/>
  <c r="V160" i="5" l="1"/>
  <c r="V161" i="5" l="1"/>
  <c r="V162" i="5" l="1"/>
  <c r="V163" i="5" l="1"/>
  <c r="V164" i="5" l="1"/>
  <c r="V165" i="5" l="1"/>
  <c r="V166" i="5" l="1"/>
  <c r="V167" i="5" l="1"/>
  <c r="V168" i="5" l="1"/>
  <c r="V169" i="5" l="1"/>
  <c r="V170" i="5" l="1"/>
  <c r="V171" i="5" l="1"/>
  <c r="V172" i="5" l="1"/>
  <c r="V173" i="5" l="1"/>
  <c r="V174" i="5" l="1"/>
  <c r="V175" i="5" l="1"/>
  <c r="V176" i="5" l="1"/>
  <c r="V177" i="5" l="1"/>
  <c r="V178" i="5" l="1"/>
  <c r="V179" i="5" l="1"/>
  <c r="V180" i="5" l="1"/>
  <c r="V181" i="5" l="1"/>
  <c r="V182" i="5" l="1"/>
  <c r="V183" i="5" l="1"/>
  <c r="V184" i="5" l="1"/>
  <c r="V185" i="5" l="1"/>
  <c r="V186" i="5" l="1"/>
  <c r="V187" i="5" l="1"/>
  <c r="V188" i="5" l="1"/>
  <c r="V189" i="5" l="1"/>
  <c r="V190" i="5" l="1"/>
  <c r="V191" i="5" l="1"/>
  <c r="V192" i="5" l="1"/>
  <c r="V193" i="5" l="1"/>
  <c r="V194" i="5" l="1"/>
  <c r="V195" i="5" l="1"/>
  <c r="V196" i="5" l="1"/>
  <c r="V197" i="5" l="1"/>
  <c r="V198" i="5" l="1"/>
  <c r="V199" i="5" l="1"/>
  <c r="V200" i="5" l="1"/>
  <c r="V201" i="5" l="1"/>
  <c r="V202" i="5" l="1"/>
  <c r="V203" i="5" l="1"/>
  <c r="V204" i="5" l="1"/>
  <c r="V205" i="5" l="1"/>
  <c r="V206" i="5" l="1"/>
  <c r="V207" i="5" l="1"/>
  <c r="V208" i="5" l="1"/>
  <c r="V209" i="5" l="1"/>
  <c r="V210" i="5" l="1"/>
  <c r="V211" i="5" l="1"/>
  <c r="V212" i="5" l="1"/>
  <c r="V213" i="5" l="1"/>
  <c r="V214" i="5" l="1"/>
  <c r="V215" i="5" l="1"/>
  <c r="V216" i="5" l="1"/>
  <c r="V217" i="5" l="1"/>
  <c r="V218" i="5" l="1"/>
  <c r="V219" i="5" l="1"/>
  <c r="V220" i="5" l="1"/>
  <c r="V221" i="5" l="1"/>
  <c r="V222" i="5" l="1"/>
  <c r="V223" i="5" l="1"/>
  <c r="V224" i="5" l="1"/>
  <c r="V225" i="5" l="1"/>
  <c r="V226" i="5" l="1"/>
  <c r="V227" i="5" l="1"/>
  <c r="V228" i="5" l="1"/>
  <c r="V229" i="5" l="1"/>
  <c r="V230" i="5" l="1"/>
  <c r="V231" i="5" l="1"/>
  <c r="V232" i="5" l="1"/>
  <c r="V233" i="5" l="1"/>
  <c r="V234" i="5" l="1"/>
  <c r="V235" i="5" l="1"/>
  <c r="V236" i="5" l="1"/>
  <c r="V237" i="5" l="1"/>
  <c r="V238" i="5" l="1"/>
  <c r="V239" i="5" l="1"/>
  <c r="V240" i="5" l="1"/>
  <c r="V241" i="5" l="1"/>
  <c r="V242" i="5" l="1"/>
  <c r="V243" i="5" l="1"/>
  <c r="V244" i="5" l="1"/>
  <c r="V245" i="5" l="1"/>
  <c r="V246" i="5" l="1"/>
  <c r="V247" i="5" l="1"/>
  <c r="V248" i="5" l="1"/>
  <c r="V249" i="5" l="1"/>
  <c r="V250" i="5" l="1"/>
  <c r="V251" i="5" l="1"/>
  <c r="V252" i="5" l="1"/>
  <c r="V253" i="5" l="1"/>
  <c r="V254" i="5" l="1"/>
  <c r="V255" i="5" l="1"/>
  <c r="V256" i="5" l="1"/>
  <c r="V257" i="5" l="1"/>
  <c r="V258" i="5" l="1"/>
  <c r="V259" i="5" l="1"/>
  <c r="V260" i="5" l="1"/>
  <c r="V261" i="5" l="1"/>
  <c r="V262" i="5" l="1"/>
  <c r="V263" i="5" l="1"/>
  <c r="V264" i="5" l="1"/>
  <c r="V265" i="5" l="1"/>
  <c r="V266" i="5" l="1"/>
  <c r="V267" i="5" l="1"/>
  <c r="V268" i="5" l="1"/>
  <c r="V269" i="5" l="1"/>
  <c r="V270" i="5" l="1"/>
  <c r="V271" i="5" l="1"/>
  <c r="V272" i="5" l="1"/>
  <c r="V273" i="5" l="1"/>
  <c r="V274" i="5" l="1"/>
  <c r="V275" i="5" l="1"/>
  <c r="V276" i="5" l="1"/>
  <c r="V277" i="5" l="1"/>
  <c r="V278" i="5" l="1"/>
  <c r="V279" i="5" l="1"/>
  <c r="V280" i="5" l="1"/>
  <c r="V281" i="5" l="1"/>
  <c r="V282" i="5" l="1"/>
  <c r="V283" i="5" l="1"/>
  <c r="V284" i="5" l="1"/>
  <c r="V285" i="5" l="1"/>
  <c r="V286" i="5" l="1"/>
  <c r="V287" i="5" l="1"/>
  <c r="V288" i="5" l="1"/>
  <c r="V289" i="5" l="1"/>
  <c r="V290" i="5" l="1"/>
  <c r="V291" i="5" l="1"/>
  <c r="V292" i="5" l="1"/>
  <c r="V293" i="5" l="1"/>
  <c r="V294" i="5" l="1"/>
  <c r="V295" i="5" l="1"/>
  <c r="V296" i="5" l="1"/>
  <c r="V297" i="5" l="1"/>
  <c r="V298" i="5" l="1"/>
  <c r="V299" i="5" l="1"/>
  <c r="V300" i="5" l="1"/>
  <c r="V301" i="5" l="1"/>
  <c r="V302" i="5" l="1"/>
  <c r="V303" i="5" l="1"/>
  <c r="V304" i="5" l="1"/>
  <c r="V305" i="5" l="1"/>
  <c r="V306" i="5" l="1"/>
  <c r="V307" i="5" l="1"/>
  <c r="V308" i="5" l="1"/>
  <c r="V309" i="5" l="1"/>
  <c r="V310" i="5" l="1"/>
  <c r="V311" i="5" l="1"/>
  <c r="V312" i="5" l="1"/>
  <c r="V313" i="5" l="1"/>
  <c r="V314" i="5" l="1"/>
  <c r="V315" i="5" l="1"/>
  <c r="V316" i="5" l="1"/>
  <c r="V317" i="5" l="1"/>
  <c r="V318" i="5" l="1"/>
  <c r="V319" i="5" l="1"/>
  <c r="V320" i="5" l="1"/>
  <c r="V321" i="5" l="1"/>
  <c r="V322" i="5" l="1"/>
  <c r="V323" i="5" l="1"/>
  <c r="V324" i="5" l="1"/>
  <c r="V325" i="5" l="1"/>
  <c r="V326" i="5" l="1"/>
  <c r="V327" i="5" l="1"/>
  <c r="V328" i="5" l="1"/>
  <c r="V329" i="5" l="1"/>
  <c r="V330" i="5" l="1"/>
  <c r="V331" i="5" l="1"/>
  <c r="V332" i="5" l="1"/>
  <c r="V333" i="5" l="1"/>
  <c r="V334" i="5" l="1"/>
  <c r="V335" i="5" l="1"/>
  <c r="V336" i="5" l="1"/>
  <c r="V337" i="5" l="1"/>
  <c r="V338" i="5" l="1"/>
  <c r="V339" i="5" l="1"/>
  <c r="V340" i="5" l="1"/>
  <c r="V341" i="5" l="1"/>
  <c r="V342" i="5" l="1"/>
  <c r="V343" i="5" l="1"/>
  <c r="V344" i="5" l="1"/>
</calcChain>
</file>

<file path=xl/sharedStrings.xml><?xml version="1.0" encoding="utf-8"?>
<sst xmlns="http://schemas.openxmlformats.org/spreadsheetml/2006/main" count="731" uniqueCount="291">
  <si>
    <t>1 week of sale</t>
  </si>
  <si>
    <t>Uniform dist</t>
  </si>
  <si>
    <t>Expected sale=</t>
  </si>
  <si>
    <t>Cost=c=</t>
  </si>
  <si>
    <t>Selling price=p=</t>
  </si>
  <si>
    <t>$5 or $6</t>
  </si>
  <si>
    <t>Refund fraction=</t>
  </si>
  <si>
    <t>[0.25-0.75 scenarios]</t>
  </si>
  <si>
    <t>Return shipping=</t>
  </si>
  <si>
    <t>per unit</t>
  </si>
  <si>
    <t>K=</t>
  </si>
  <si>
    <t>per order</t>
  </si>
  <si>
    <t>Prize value=</t>
  </si>
  <si>
    <t>at $5 selling price</t>
  </si>
  <si>
    <t>Co=</t>
  </si>
  <si>
    <t>3-0.5*3+.5=</t>
  </si>
  <si>
    <t>Cu=</t>
  </si>
  <si>
    <t>5-3=</t>
  </si>
  <si>
    <t>F(X*)=</t>
  </si>
  <si>
    <t>Cu/(Cu+Co)=</t>
  </si>
  <si>
    <t>at $6 selling price</t>
  </si>
  <si>
    <t>6-3=</t>
  </si>
  <si>
    <t>X*=</t>
  </si>
  <si>
    <t>at 0.25 refund</t>
  </si>
  <si>
    <t>at 0.75 refund</t>
  </si>
  <si>
    <t>3-0.25*3+.5=</t>
  </si>
  <si>
    <t>3-0.75*3+.5=</t>
  </si>
  <si>
    <t>at 0.5 refund</t>
  </si>
  <si>
    <t>Total profit=</t>
  </si>
  <si>
    <t>Units sold</t>
  </si>
  <si>
    <t>Left over units</t>
  </si>
  <si>
    <t>Revenue</t>
  </si>
  <si>
    <t>Setup cost</t>
  </si>
  <si>
    <t>Cost - Var</t>
  </si>
  <si>
    <t>Cost-shipping</t>
  </si>
  <si>
    <t>Refund</t>
  </si>
  <si>
    <t>Net Profit</t>
  </si>
  <si>
    <t>Demand</t>
  </si>
  <si>
    <t>S.no</t>
  </si>
  <si>
    <t>E[Profit]</t>
  </si>
  <si>
    <t>No. of instance of loss</t>
  </si>
  <si>
    <t>count of loss</t>
  </si>
  <si>
    <t>P(loss)=</t>
  </si>
  <si>
    <t>Leisure Limited awards $40,000 to the stand with highest sales. SparkFire estimates a</t>
  </si>
  <si>
    <t>5% chance of winning if actual sales are ≥400 units. Other states use 3% if actual sales</t>
  </si>
  <si>
    <t>≥380 or 7% if actual sales ≥420 are mentioned as context.</t>
  </si>
  <si>
    <t>(a) Modify your profit model to account for the possibility of awards.</t>
  </si>
  <si>
    <t>risk-seeking or risk-averse behavior.</t>
  </si>
  <si>
    <r>
      <t>(b) Find the new quantity Q</t>
    </r>
    <r>
      <rPr>
        <sz val="8"/>
        <color rgb="FF000000"/>
        <rFont val="Academy Engraved LET Plain:1.0"/>
      </rPr>
      <t xml:space="preserve">∗∗ </t>
    </r>
    <r>
      <rPr>
        <sz val="12"/>
        <color rgb="FF000000"/>
        <rFont val="Academy Engraved LET Plain:1.0"/>
      </rPr>
      <t>that maximizes total expected returns.</t>
    </r>
  </si>
  <si>
    <r>
      <t>(c) Compare Q</t>
    </r>
    <r>
      <rPr>
        <sz val="8"/>
        <color rgb="FF000000"/>
        <rFont val="Academy Engraved LET Plain:1.0"/>
      </rPr>
      <t xml:space="preserve">∗∗ </t>
    </r>
    <r>
      <rPr>
        <sz val="12"/>
        <color rgb="FF000000"/>
        <rFont val="Academy Engraved LET Plain:1.0"/>
      </rPr>
      <t>to Q</t>
    </r>
    <r>
      <rPr>
        <sz val="8"/>
        <color rgb="FF000000"/>
        <rFont val="Academy Engraved LET Plain:1.0"/>
      </rPr>
      <t xml:space="preserve">∗ </t>
    </r>
    <r>
      <rPr>
        <sz val="12"/>
        <color rgb="FF000000"/>
        <rFont val="Academy Engraved LET Plain:1.0"/>
      </rPr>
      <t>(from Part 2) and discuss how this incentive scheme encourages</t>
    </r>
  </si>
  <si>
    <r>
      <t>X*</t>
    </r>
    <r>
      <rPr>
        <vertAlign val="subscript"/>
        <sz val="14"/>
        <color theme="1"/>
        <rFont val="Academy Engraved LET Plain:1.0"/>
      </rPr>
      <t>$5,0.5</t>
    </r>
    <r>
      <rPr>
        <sz val="14"/>
        <color theme="1"/>
        <rFont val="Academy Engraved LET Plain:1.0"/>
      </rPr>
      <t>=</t>
    </r>
  </si>
  <si>
    <r>
      <t>X*</t>
    </r>
    <r>
      <rPr>
        <vertAlign val="subscript"/>
        <sz val="14"/>
        <color theme="1"/>
        <rFont val="Academy Engraved LET Plain:1.0"/>
      </rPr>
      <t>$6,0.5</t>
    </r>
    <r>
      <rPr>
        <sz val="14"/>
        <color theme="1"/>
        <rFont val="Academy Engraved LET Plain:1.0"/>
      </rPr>
      <t>=</t>
    </r>
  </si>
  <si>
    <r>
      <t>X*</t>
    </r>
    <r>
      <rPr>
        <vertAlign val="subscript"/>
        <sz val="14"/>
        <color theme="1"/>
        <rFont val="Academy Engraved LET Plain:1.0"/>
      </rPr>
      <t>$6,0.25</t>
    </r>
    <r>
      <rPr>
        <sz val="14"/>
        <color theme="1"/>
        <rFont val="Academy Engraved LET Plain:1.0"/>
      </rPr>
      <t>=</t>
    </r>
  </si>
  <si>
    <t>a)</t>
  </si>
  <si>
    <t>From 1,2,3 we have below X* at various Selling prices and fraction as refund</t>
  </si>
  <si>
    <t>X* at various fractions of refund</t>
  </si>
  <si>
    <t>Sellling Price</t>
  </si>
  <si>
    <t>Now below are the changes of winning</t>
  </si>
  <si>
    <t>Sales</t>
  </si>
  <si>
    <t>Probability of winning</t>
  </si>
  <si>
    <t>&gt;=400</t>
  </si>
  <si>
    <t>&gt;=380</t>
  </si>
  <si>
    <t>&gt;=420</t>
  </si>
  <si>
    <t xml:space="preserve">Correspond X* </t>
  </si>
  <si>
    <t>Nil</t>
  </si>
  <si>
    <t>Lets find X* with below add ons</t>
  </si>
  <si>
    <t>Co=3-0.5*3+.5=</t>
  </si>
  <si>
    <t>So F(X*)=</t>
  </si>
  <si>
    <t>at 0.5 refund fraction</t>
  </si>
  <si>
    <t>1. Assuming X* &gt;=380, then Addional revenue=40000*.03=</t>
  </si>
  <si>
    <t>Order Qty</t>
  </si>
  <si>
    <t>1-199</t>
  </si>
  <si>
    <t>200-399</t>
  </si>
  <si>
    <t>400+</t>
  </si>
  <si>
    <t>Unit cost</t>
  </si>
  <si>
    <t>Optimal qty at unit cost</t>
  </si>
  <si>
    <t>(@ $5 selling price)</t>
  </si>
  <si>
    <t>(@ $6 selling price)</t>
  </si>
  <si>
    <t>Comment</t>
  </si>
  <si>
    <t>Beyond order qty range for that cost</t>
  </si>
  <si>
    <t>Total cost at</t>
  </si>
  <si>
    <t>199 units=</t>
  </si>
  <si>
    <t>Cost Total</t>
  </si>
  <si>
    <t>Expected Sale qty</t>
  </si>
  <si>
    <t>Expected left over</t>
  </si>
  <si>
    <t>2.85-0.5*2.85+.5=</t>
  </si>
  <si>
    <t>within the range so this should be ordered</t>
  </si>
  <si>
    <t>Below the range of 400 so we use 400</t>
  </si>
  <si>
    <t>Salvage value</t>
  </si>
  <si>
    <t>Shipping cost</t>
  </si>
  <si>
    <t>Expected Sales=</t>
  </si>
  <si>
    <t>Expected left over=</t>
  </si>
  <si>
    <t>Expected revenue=</t>
  </si>
  <si>
    <t>Salvage value of left over=</t>
  </si>
  <si>
    <t>Shipping cost=</t>
  </si>
  <si>
    <t>Ordering cost=</t>
  </si>
  <si>
    <t>Expected Profit=</t>
  </si>
  <si>
    <t>Variable buying cost=</t>
  </si>
  <si>
    <t>The market signal demands are as follows</t>
  </si>
  <si>
    <t>f=</t>
  </si>
  <si>
    <t>Shipping=s=</t>
  </si>
  <si>
    <t>% of cost</t>
  </si>
  <si>
    <r>
      <t>Pre Season initial order 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 xml:space="preserve"> cost c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=</t>
    </r>
  </si>
  <si>
    <t>Per order cost=</t>
  </si>
  <si>
    <t>(assuming this for both pre season and In season)</t>
  </si>
  <si>
    <r>
      <t>In season Expedited top up order 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(S) cost c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=</t>
    </r>
  </si>
  <si>
    <t>(a)</t>
  </si>
  <si>
    <t>Lets make the payoff table. The states of nature are D⏐S=High  and D⏐S=Low</t>
  </si>
  <si>
    <t>Decision taken are Ordering optimal quantity basis S=High or S=Low at the beginning with no top up or order S=Low optimal with a top up to match S=High</t>
  </si>
  <si>
    <t>At pre season cost of $3.00</t>
  </si>
  <si>
    <t>Sale price=</t>
  </si>
  <si>
    <t>(assumption)</t>
  </si>
  <si>
    <r>
      <t>c</t>
    </r>
    <r>
      <rPr>
        <vertAlign val="subscript"/>
        <sz val="12"/>
        <color theme="1"/>
        <rFont val="Academy Engraved LET Plain:1.0"/>
      </rPr>
      <t>o</t>
    </r>
    <r>
      <rPr>
        <sz val="12"/>
        <color theme="1"/>
        <rFont val="Academy Engraved LET Plain:1.0"/>
      </rPr>
      <t>= 3-0.5*3+.5=</t>
    </r>
  </si>
  <si>
    <r>
      <t>c</t>
    </r>
    <r>
      <rPr>
        <vertAlign val="subscript"/>
        <sz val="12"/>
        <color theme="1"/>
        <rFont val="Academy Engraved LET Plain:1.0"/>
      </rPr>
      <t>u</t>
    </r>
    <r>
      <rPr>
        <sz val="12"/>
        <color theme="1"/>
        <rFont val="Academy Engraved LET Plain:1.0"/>
      </rPr>
      <t>=5-3=</t>
    </r>
  </si>
  <si>
    <r>
      <t>P(D≤Q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)=c</t>
    </r>
    <r>
      <rPr>
        <vertAlign val="subscript"/>
        <sz val="12"/>
        <color theme="1"/>
        <rFont val="Academy Engraved LET Plain:1.0"/>
      </rPr>
      <t>u</t>
    </r>
    <r>
      <rPr>
        <sz val="12"/>
        <color theme="1"/>
        <rFont val="Academy Engraved LET Plain:1.0"/>
      </rPr>
      <t>/(c</t>
    </r>
    <r>
      <rPr>
        <vertAlign val="subscript"/>
        <sz val="12"/>
        <color theme="1"/>
        <rFont val="Academy Engraved LET Plain:1.0"/>
      </rPr>
      <t>u</t>
    </r>
    <r>
      <rPr>
        <sz val="12"/>
        <color theme="1"/>
        <rFont val="Academy Engraved LET Plain:1.0"/>
      </rPr>
      <t>+c</t>
    </r>
    <r>
      <rPr>
        <vertAlign val="subscript"/>
        <sz val="12"/>
        <color theme="1"/>
        <rFont val="Academy Engraved LET Plain:1.0"/>
      </rPr>
      <t>o</t>
    </r>
    <r>
      <rPr>
        <sz val="12"/>
        <color theme="1"/>
        <rFont val="Academy Engraved LET Plain:1.0"/>
      </rPr>
      <t>)=</t>
    </r>
  </si>
  <si>
    <t>For D⏐S=High  single order</t>
  </si>
  <si>
    <t>for D⏐S=Low single order</t>
  </si>
  <si>
    <t>There are two ways to manager this, eigher have just a single pre-season order or have a pre season and then in season order</t>
  </si>
  <si>
    <t>This looks like a quantity discount problem except the inverse since at higher quantity, the cost is going up. So we can use a similar approach</t>
  </si>
  <si>
    <r>
      <t>c</t>
    </r>
    <r>
      <rPr>
        <vertAlign val="subscript"/>
        <sz val="12"/>
        <color theme="1"/>
        <rFont val="Academy Engraved LET Plain:1.0"/>
      </rPr>
      <t>o</t>
    </r>
    <r>
      <rPr>
        <sz val="12"/>
        <color theme="1"/>
        <rFont val="Academy Engraved LET Plain:1.0"/>
      </rPr>
      <t>= 3.6-0.5*3.6+.5=</t>
    </r>
  </si>
  <si>
    <r>
      <t>c</t>
    </r>
    <r>
      <rPr>
        <vertAlign val="subscript"/>
        <sz val="12"/>
        <color theme="1"/>
        <rFont val="Academy Engraved LET Plain:1.0"/>
      </rPr>
      <t>u</t>
    </r>
    <r>
      <rPr>
        <sz val="12"/>
        <color theme="1"/>
        <rFont val="Academy Engraved LET Plain:1.0"/>
      </rPr>
      <t>=5-3.6=</t>
    </r>
  </si>
  <si>
    <r>
      <t>for both pre and in season ordering, the pre order could be placed till Q</t>
    </r>
    <r>
      <rPr>
        <vertAlign val="subscript"/>
        <sz val="12"/>
        <color theme="1"/>
        <rFont val="Academy Engraved LET Plain:1.0"/>
      </rPr>
      <t>0/low</t>
    </r>
    <r>
      <rPr>
        <sz val="12"/>
        <color theme="1"/>
        <rFont val="Academy Engraved LET Plain:1.0"/>
      </rPr>
      <t xml:space="preserve"> or Q</t>
    </r>
    <r>
      <rPr>
        <vertAlign val="subscript"/>
        <sz val="12"/>
        <color theme="1"/>
        <rFont val="Academy Engraved LET Plain:1.0"/>
      </rPr>
      <t>0/high</t>
    </r>
    <r>
      <rPr>
        <sz val="12"/>
        <color theme="1"/>
        <rFont val="Academy Engraved LET Plain:1.0"/>
      </rPr>
      <t xml:space="preserve"> and then basis high signal, place the next order to add Q</t>
    </r>
    <r>
      <rPr>
        <vertAlign val="subscript"/>
        <sz val="12"/>
        <color theme="1"/>
        <rFont val="Academy Engraved LET Plain:1.0"/>
      </rPr>
      <t>1</t>
    </r>
  </si>
  <si>
    <r>
      <t>Lets find Q</t>
    </r>
    <r>
      <rPr>
        <vertAlign val="subscript"/>
        <sz val="12"/>
        <color theme="1"/>
        <rFont val="Academy Engraved LET Plain:1.0"/>
      </rPr>
      <t>2/high</t>
    </r>
    <r>
      <rPr>
        <sz val="12"/>
        <color theme="1"/>
        <rFont val="Academy Engraved LET Plain:1.0"/>
      </rPr>
      <t xml:space="preserve"> =Q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+Q</t>
    </r>
    <r>
      <rPr>
        <vertAlign val="subscript"/>
        <sz val="12"/>
        <color theme="1"/>
        <rFont val="Academy Engraved LET Plain:1.0"/>
      </rPr>
      <t>0</t>
    </r>
  </si>
  <si>
    <r>
      <t>(Q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 xml:space="preserve"> can be Q</t>
    </r>
    <r>
      <rPr>
        <vertAlign val="subscript"/>
        <sz val="12"/>
        <color theme="1"/>
        <rFont val="Academy Engraved LET Plain:1.0"/>
      </rPr>
      <t>0/high</t>
    </r>
    <r>
      <rPr>
        <sz val="12"/>
        <color theme="1"/>
        <rFont val="Academy Engraved LET Plain:1.0"/>
      </rPr>
      <t xml:space="preserve"> or Q</t>
    </r>
    <r>
      <rPr>
        <vertAlign val="subscript"/>
        <sz val="12"/>
        <color theme="1"/>
        <rFont val="Academy Engraved LET Plain:1.0"/>
      </rPr>
      <t>0/low</t>
    </r>
    <r>
      <rPr>
        <sz val="12"/>
        <color theme="1"/>
        <rFont val="Academy Engraved LET Plain:1.0"/>
      </rPr>
      <t>)</t>
    </r>
  </si>
  <si>
    <r>
      <t>Lets find Q</t>
    </r>
    <r>
      <rPr>
        <vertAlign val="subscript"/>
        <sz val="12"/>
        <color theme="1"/>
        <rFont val="Academy Engraved LET Plain:1.0"/>
      </rPr>
      <t>2/low</t>
    </r>
    <r>
      <rPr>
        <sz val="12"/>
        <color theme="1"/>
        <rFont val="Academy Engraved LET Plain:1.0"/>
      </rPr>
      <t xml:space="preserve"> =Q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+Q</t>
    </r>
    <r>
      <rPr>
        <vertAlign val="subscript"/>
        <sz val="12"/>
        <color theme="1"/>
        <rFont val="Academy Engraved LET Plain:1.0"/>
      </rPr>
      <t>0</t>
    </r>
  </si>
  <si>
    <r>
      <t>(Q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 xml:space="preserve"> can be  Q</t>
    </r>
    <r>
      <rPr>
        <vertAlign val="subscript"/>
        <sz val="12"/>
        <color theme="1"/>
        <rFont val="Academy Engraved LET Plain:1.0"/>
      </rPr>
      <t xml:space="preserve">0/low </t>
    </r>
    <r>
      <rPr>
        <sz val="12"/>
        <color theme="1"/>
        <rFont val="Academy Engraved LET Plain:1.0"/>
      </rPr>
      <t>only since Q</t>
    </r>
    <r>
      <rPr>
        <vertAlign val="subscript"/>
        <sz val="12"/>
        <color theme="1"/>
        <rFont val="Academy Engraved LET Plain:1.0"/>
      </rPr>
      <t>0/high</t>
    </r>
    <r>
      <rPr>
        <sz val="12"/>
        <color theme="1"/>
        <rFont val="Academy Engraved LET Plain:1.0"/>
      </rPr>
      <t xml:space="preserve"> is higher qty than Q</t>
    </r>
    <r>
      <rPr>
        <vertAlign val="subscript"/>
        <sz val="12"/>
        <color theme="1"/>
        <rFont val="Academy Engraved LET Plain:1.0"/>
      </rPr>
      <t>2/low</t>
    </r>
    <r>
      <rPr>
        <sz val="12"/>
        <color theme="1"/>
        <rFont val="Academy Engraved LET Plain:1.0"/>
      </rPr>
      <t>)</t>
    </r>
  </si>
  <si>
    <t>So pay off table</t>
  </si>
  <si>
    <t>D⏐High</t>
  </si>
  <si>
    <t>D⏐low</t>
  </si>
  <si>
    <t>States of Nature</t>
  </si>
  <si>
    <t>Expected Sales and left over</t>
  </si>
  <si>
    <t>Single order 330</t>
  </si>
  <si>
    <t>Single order 190</t>
  </si>
  <si>
    <t>Single order 207</t>
  </si>
  <si>
    <t>dual order 190, (352-190)</t>
  </si>
  <si>
    <t>Dual order 190, (330-190)</t>
  </si>
  <si>
    <t>Dual order 207, (352-207)</t>
  </si>
  <si>
    <t>Dual order 207, (330-207)</t>
  </si>
  <si>
    <t>Dual order 330,(352-330)</t>
  </si>
  <si>
    <t>Exp. Left over</t>
  </si>
  <si>
    <t>Exp. sales</t>
  </si>
  <si>
    <t>Single order 352</t>
  </si>
  <si>
    <t>=</t>
  </si>
  <si>
    <t>since min. demand is 240</t>
  </si>
  <si>
    <t>Since Qty ordered is &gt; Max demand</t>
  </si>
  <si>
    <t>Expected Profit</t>
  </si>
  <si>
    <t>Probability</t>
  </si>
  <si>
    <t>E(Profit)</t>
  </si>
  <si>
    <t>E(S)*5</t>
  </si>
  <si>
    <t>Cost Var</t>
  </si>
  <si>
    <t>Per order cost</t>
  </si>
  <si>
    <t>20*2</t>
  </si>
  <si>
    <t>E[Revenue]</t>
  </si>
  <si>
    <t>E[Salvage Val]</t>
  </si>
  <si>
    <t>E[Shipping cost]</t>
  </si>
  <si>
    <t>E(S)*5+{[Q0-E(S)]*3*.5+Q1*3.6*.5}-{[Q0*3+Q1*3.6]}-{[Q0+Q1-E(S)]*0.5}-20*2</t>
  </si>
  <si>
    <t>a</t>
  </si>
  <si>
    <t>b</t>
  </si>
  <si>
    <t>c</t>
  </si>
  <si>
    <t>d</t>
  </si>
  <si>
    <t>e</t>
  </si>
  <si>
    <t>a+c-b-d-e</t>
  </si>
  <si>
    <t>E(S)*5+{[Q0+Q1-E(S)]*3.6*.5}-{[Q0*3+Q1*3.6]}-{[Q0+Q1-E(S)]*0.5}-20*2</t>
  </si>
  <si>
    <t>Dual order</t>
  </si>
  <si>
    <t>Single order</t>
  </si>
  <si>
    <t>E(S)*5+{[Q0-E(S)]*3*.5}-Q0*3-{[Q0-E(S)]*0.5}-20</t>
  </si>
  <si>
    <t>Q0*(5-3)-20</t>
  </si>
  <si>
    <t>(b)</t>
  </si>
  <si>
    <t>(c)</t>
  </si>
  <si>
    <t>Dual order 190, (207-190)</t>
  </si>
  <si>
    <t>(d)</t>
  </si>
  <si>
    <t>VOSRC=</t>
  </si>
  <si>
    <t>So Not to pay anything</t>
  </si>
  <si>
    <t>Uniform distribution</t>
  </si>
  <si>
    <t xml:space="preserve">Suppose selling price is $5. So Cost of Underage=5-3=$2; Cost of overage=3+0.5-3*0.5=2. So the right balance would be at the mid point and hence 270. </t>
  </si>
  <si>
    <t xml:space="preserve">This is because for every unit extra we don’t sell, it would cost $2 and every unit shortage we have, we loos $2 as well. </t>
  </si>
  <si>
    <t>We need to find the spot where P(D&gt;=Q)=P(D&lt;=Q)=Mean demand for the uniform distribution and in this case it is 270</t>
  </si>
  <si>
    <t xml:space="preserve">At $6 selling price, the custo of Underage=6-3=$3 while the cost of overage remains the same at $2. So it hurts to loose sales than have overages. </t>
  </si>
  <si>
    <t>So in this case, the tendence would be to keep higher stock than mid point and hence more than 270</t>
  </si>
  <si>
    <t>At $5 selling price</t>
  </si>
  <si>
    <t>a.</t>
  </si>
  <si>
    <t>b.</t>
  </si>
  <si>
    <t>c.</t>
  </si>
  <si>
    <t>d.</t>
  </si>
  <si>
    <t>e.</t>
  </si>
  <si>
    <t>a+b+c+d+e</t>
  </si>
  <si>
    <t>Limitation of using uniform demand assumption:</t>
  </si>
  <si>
    <t>Would would happen if raising prices changes demand?</t>
  </si>
  <si>
    <t>Avg Profit[500 simulation]</t>
  </si>
  <si>
    <t>Std Dev of Profit</t>
  </si>
  <si>
    <t>overall; So per unit on 400 (minimum qty)=</t>
  </si>
  <si>
    <t>$per unit</t>
  </si>
  <si>
    <t>So Cu=5+5-3=</t>
  </si>
  <si>
    <t>overall; So per unit on 380 (minimum qty)=</t>
  </si>
  <si>
    <t>So Cu=5+3.2-3=</t>
  </si>
  <si>
    <t>1. Assuming sales &gt;=400, then Addional revenue=40000*.05=</t>
  </si>
  <si>
    <t>To sell 400 we need atleast 400. suppose we stock 400 units</t>
  </si>
  <si>
    <t>Expected sale when demand&lt;400 is</t>
  </si>
  <si>
    <t>Since we have stock=</t>
  </si>
  <si>
    <t>So profit without winning prize=</t>
  </si>
  <si>
    <t>Profit with winning prize=</t>
  </si>
  <si>
    <t>Expected profit when Demand&gt;=400=</t>
  </si>
  <si>
    <t>Expected Profit when Demand&lt;400=</t>
  </si>
  <si>
    <t>(without set up cost)</t>
  </si>
  <si>
    <t>At EOQ in part 2 we saw the profit was=</t>
  </si>
  <si>
    <t>which is still better</t>
  </si>
  <si>
    <t>Now suppose we had inventory at 380 units</t>
  </si>
  <si>
    <t>Expected sale when demand&lt;380 is</t>
  </si>
  <si>
    <t>Expected Profit when Demand&lt;380=</t>
  </si>
  <si>
    <t>(inclusive of ordering cost)</t>
  </si>
  <si>
    <t>Probability Demand&gt;=380=1-P(D&lt;=380)=1-(380-120)/(380-120)=</t>
  </si>
  <si>
    <t>Expected profit when Demand&gt;=380=</t>
  </si>
  <si>
    <t>for Demand&gt;=400</t>
  </si>
  <si>
    <t xml:space="preserve">So demand could be split as either &lt;= 400,  or &gt;400 </t>
  </si>
  <si>
    <t>for Demand&gt;400, sale=</t>
  </si>
  <si>
    <t>Probability Demand&gt;400=1-P(D&lt;=400)=</t>
  </si>
  <si>
    <t>Probability Demand&gt;=380 but less than 400=P(D&lt;=400)-p(D&lt;=380=(400-120)/(420-120)-(380-120)/(420-120)</t>
  </si>
  <si>
    <t>which is lesser than with the reward</t>
  </si>
  <si>
    <t>Suppose we now hand inventory at 420 units</t>
  </si>
  <si>
    <t>Expected sale now=</t>
  </si>
  <si>
    <t>Exected profit=</t>
  </si>
  <si>
    <t>Final table</t>
  </si>
  <si>
    <t>Without reward</t>
  </si>
  <si>
    <t>With reward</t>
  </si>
  <si>
    <t>Optimal Q</t>
  </si>
  <si>
    <t>Profit</t>
  </si>
  <si>
    <t>Expected sale</t>
  </si>
  <si>
    <t>Probabilities</t>
  </si>
  <si>
    <t>D&lt;</t>
  </si>
  <si>
    <t>&lt;=D&lt;=</t>
  </si>
  <si>
    <t>&lt;=D</t>
  </si>
  <si>
    <t>Exp Sale</t>
  </si>
  <si>
    <t>Exp left</t>
  </si>
  <si>
    <t>Exp profit</t>
  </si>
  <si>
    <t>Qty</t>
  </si>
  <si>
    <t>Optimal profit w/o reward</t>
  </si>
  <si>
    <t>Profit with reward</t>
  </si>
  <si>
    <t>Exp left over</t>
  </si>
  <si>
    <t>Expected Qty</t>
  </si>
  <si>
    <t>Exp leftover</t>
  </si>
  <si>
    <t>Reg. exp profit</t>
  </si>
  <si>
    <r>
      <t>Now we order 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 xml:space="preserve"> and then 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. Let expected Sale be E(S)</t>
    </r>
  </si>
  <si>
    <r>
      <t>. So total Q</t>
    </r>
    <r>
      <rPr>
        <vertAlign val="subscript"/>
        <sz val="12"/>
        <color theme="1"/>
        <rFont val="Academy Engraved LET Plain:1.0"/>
      </rPr>
      <t>2</t>
    </r>
    <r>
      <rPr>
        <sz val="12"/>
        <color theme="1"/>
        <rFont val="Academy Engraved LET Plain:1.0"/>
      </rPr>
      <t>=Q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+Q</t>
    </r>
    <r>
      <rPr>
        <vertAlign val="subscript"/>
        <sz val="12"/>
        <color theme="1"/>
        <rFont val="Academy Engraved LET Plain:1.0"/>
      </rPr>
      <t>1</t>
    </r>
  </si>
  <si>
    <r>
      <t>[Q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*3+Q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*3.6]</t>
    </r>
  </si>
  <si>
    <t>Scenarios</t>
  </si>
  <si>
    <r>
      <t>[Q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-E(S)]*3*.5+Q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*3.6*.5</t>
    </r>
  </si>
  <si>
    <r>
      <t>[Q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+Q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-E(S)]*0.5</t>
    </r>
  </si>
  <si>
    <r>
      <t>[Q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+Q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-E(S)]*3.6*.5</t>
    </r>
  </si>
  <si>
    <r>
      <t>If E(S)≤Q</t>
    </r>
    <r>
      <rPr>
        <vertAlign val="subscript"/>
        <sz val="12"/>
        <color theme="1"/>
        <rFont val="Academy Engraved LET Plain:1.0"/>
      </rPr>
      <t>0</t>
    </r>
  </si>
  <si>
    <r>
      <t>if (Q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+Q</t>
    </r>
    <r>
      <rPr>
        <vertAlign val="subscript"/>
        <sz val="12"/>
        <color theme="1"/>
        <rFont val="Academy Engraved LET Plain:1.0"/>
      </rPr>
      <t xml:space="preserve">0 </t>
    </r>
    <r>
      <rPr>
        <sz val="12"/>
        <color theme="1"/>
        <rFont val="Academy Engraved LET Plain:1.0"/>
      </rPr>
      <t>)≤ E(S)</t>
    </r>
  </si>
  <si>
    <r>
      <t xml:space="preserve"> (Q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+Q</t>
    </r>
    <r>
      <rPr>
        <vertAlign val="subscript"/>
        <sz val="12"/>
        <color theme="1"/>
        <rFont val="Academy Engraved LET Plain:1.0"/>
      </rPr>
      <t xml:space="preserve">0 </t>
    </r>
    <r>
      <rPr>
        <sz val="12"/>
        <color theme="1"/>
        <rFont val="Academy Engraved LET Plain:1.0"/>
      </rPr>
      <t>)*5</t>
    </r>
  </si>
  <si>
    <r>
      <t>If E(S)&gt;Q</t>
    </r>
    <r>
      <rPr>
        <vertAlign val="subscript"/>
        <sz val="12"/>
        <color theme="1"/>
        <rFont val="Academy Engraved LET Plain:1.0"/>
      </rPr>
      <t>0</t>
    </r>
  </si>
  <si>
    <r>
      <t xml:space="preserve">If E(S)≤Q </t>
    </r>
    <r>
      <rPr>
        <vertAlign val="subscript"/>
        <sz val="12"/>
        <color theme="1"/>
        <rFont val="Academy Engraved LET Plain:1.0"/>
      </rPr>
      <t>0</t>
    </r>
  </si>
  <si>
    <r>
      <t>If 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 xml:space="preserve"> ≤E(S)≤ Q. </t>
    </r>
    <r>
      <rPr>
        <vertAlign val="subscript"/>
        <sz val="12"/>
        <color theme="1"/>
        <rFont val="Academy Engraved LET Plain:1.0"/>
      </rPr>
      <t xml:space="preserve">1 </t>
    </r>
    <r>
      <rPr>
        <sz val="12"/>
        <color theme="1"/>
        <rFont val="Academy Engraved LET Plain:1.0"/>
      </rPr>
      <t>+Q</t>
    </r>
    <r>
      <rPr>
        <vertAlign val="subscript"/>
        <sz val="12"/>
        <color theme="1"/>
        <rFont val="Academy Engraved LET Plain:1.0"/>
      </rPr>
      <t>0</t>
    </r>
  </si>
  <si>
    <r>
      <t>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*3</t>
    </r>
  </si>
  <si>
    <r>
      <t>[Q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-E(S)]*3*.5</t>
    </r>
  </si>
  <si>
    <r>
      <t>[Q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-E(S)]*0.5</t>
    </r>
  </si>
  <si>
    <r>
      <t>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*5</t>
    </r>
  </si>
  <si>
    <r>
      <t xml:space="preserve">P(D≤Q 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)=c</t>
    </r>
    <r>
      <rPr>
        <vertAlign val="subscript"/>
        <sz val="12"/>
        <color theme="1"/>
        <rFont val="Academy Engraved LET Plain:1.0"/>
      </rPr>
      <t>u</t>
    </r>
    <r>
      <rPr>
        <sz val="12"/>
        <color theme="1"/>
        <rFont val="Academy Engraved LET Plain:1.0"/>
      </rPr>
      <t>/(c</t>
    </r>
    <r>
      <rPr>
        <vertAlign val="subscript"/>
        <sz val="12"/>
        <color theme="1"/>
        <rFont val="Academy Engraved LET Plain:1.0"/>
      </rPr>
      <t>u</t>
    </r>
    <r>
      <rPr>
        <sz val="12"/>
        <color theme="1"/>
        <rFont val="Academy Engraved LET Plain:1.0"/>
      </rPr>
      <t>+c</t>
    </r>
    <r>
      <rPr>
        <vertAlign val="subscript"/>
        <sz val="12"/>
        <color theme="1"/>
        <rFont val="Academy Engraved LET Plain:1.0"/>
      </rPr>
      <t>o</t>
    </r>
    <r>
      <rPr>
        <sz val="12"/>
        <color theme="1"/>
        <rFont val="Academy Engraved LET Plain:1.0"/>
      </rPr>
      <t>)=</t>
    </r>
  </si>
  <si>
    <t>Q1</t>
  </si>
  <si>
    <t>Q0</t>
  </si>
  <si>
    <t>High</t>
  </si>
  <si>
    <t>Exp sales</t>
  </si>
  <si>
    <t>Low</t>
  </si>
  <si>
    <t>refund cost</t>
  </si>
  <si>
    <t>Var cost</t>
  </si>
  <si>
    <t>ord cost</t>
  </si>
  <si>
    <t>exp profit</t>
  </si>
  <si>
    <t>Q0+Q1</t>
  </si>
  <si>
    <t>P(D=H⏐S=H)</t>
  </si>
  <si>
    <t>Assumption</t>
  </si>
  <si>
    <t>P(D=H⏐S=L)</t>
  </si>
  <si>
    <t>P(S=H)</t>
  </si>
  <si>
    <t>P(S=L)</t>
  </si>
  <si>
    <t>P(D=L⏐S=L)</t>
  </si>
  <si>
    <t>P(D=L⏐S=H)</t>
  </si>
  <si>
    <t>P(D=H⏐S=L)=</t>
  </si>
  <si>
    <t>P(S=L⏐D=H)P(D=H)</t>
  </si>
  <si>
    <t>[P(S=L⏐D=H)P(D=H)+P(S=L⏐D=L)P(D=L)]</t>
  </si>
  <si>
    <t>P(S=L⏐D=H)=</t>
  </si>
  <si>
    <t>P(D=H⏐S=L)P(S=L)</t>
  </si>
  <si>
    <t>[P(D=H⏐S=L)P(S=L)+P(D=H⏐S=H)P(S=H)]</t>
  </si>
  <si>
    <t>P(S=L⏐D=L)=</t>
  </si>
  <si>
    <t>P(D=L⏐S=L)P(S=L)</t>
  </si>
  <si>
    <t>[P(D=L⏐S=L)P(S=L)+P(D=L⏐S=H)P(S=H)]</t>
  </si>
  <si>
    <t>P(S=H⏐D=H)=</t>
  </si>
  <si>
    <t>P(S=H⏐D=L)=</t>
  </si>
  <si>
    <t>=&gt;</t>
  </si>
  <si>
    <t>P(D=L)+P(D=H)=</t>
  </si>
  <si>
    <t>P(D=H)=</t>
  </si>
  <si>
    <t>P(D=L)=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</si>
</sst>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0.0"/>
    <numFmt numFmtId="168" formatCode="0.000"/>
    <numFmt numFmtId="169" formatCode="0_);[Red]\(0\)"/>
  </numFmts>
  <fonts count="19">
    <font>
      <sz val="12"/>
      <color theme="1"/>
      <name val="Aptos Narrow"/>
      <family val="2"/>
      <scheme val="minor"/>
    </font>
    <font>
      <sz val="12"/>
      <color theme="1"/>
      <name val="Academy Engraved LET Plain:1.0"/>
    </font>
    <font>
      <sz val="14"/>
      <color theme="1"/>
      <name val="Academy Engraved LET Plain:1.0"/>
    </font>
    <font>
      <b/>
      <sz val="14"/>
      <color theme="1"/>
      <name val="Academy Engraved LET Plain:1.0"/>
    </font>
    <font>
      <u/>
      <sz val="14"/>
      <color theme="1"/>
      <name val="Academy Engraved LET Plain:1.0"/>
    </font>
    <font>
      <i/>
      <sz val="14"/>
      <color theme="1"/>
      <name val="Academy Engraved LET Plain:1.0"/>
    </font>
    <font>
      <sz val="12"/>
      <color rgb="FF000000"/>
      <name val="Academy Engraved LET Plain:1.0"/>
    </font>
    <font>
      <sz val="8"/>
      <color rgb="FF000000"/>
      <name val="Academy Engraved LET Plain:1.0"/>
    </font>
    <font>
      <vertAlign val="subscript"/>
      <sz val="14"/>
      <color theme="1"/>
      <name val="Academy Engraved LET Plain:1.0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vertAlign val="subscript"/>
      <sz val="12"/>
      <color theme="1"/>
      <name val="Academy Engraved LET Plain:1.0"/>
    </font>
    <font>
      <b/>
      <sz val="12"/>
      <color theme="1"/>
      <name val="Academy Engraved LET Plain:1.0"/>
    </font>
    <font>
      <b/>
      <i/>
      <sz val="12"/>
      <color theme="1"/>
      <name val="Academy Engraved LET Plain:1.0"/>
    </font>
    <font>
      <b/>
      <sz val="14"/>
      <color rgb="FFFF0000"/>
      <name val="Academy Engraved LET Plain:1.0"/>
    </font>
    <font>
      <sz val="12"/>
      <color rgb="FFFF0000"/>
      <name val="Academy Engraved LET Plain:1.0"/>
    </font>
    <font>
      <i/>
      <sz val="12"/>
      <color theme="1"/>
      <name val="Academy Engraved LET Plain:1.0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9" fillId="0" borderId="0" applyFont="0" applyFill="0" applyBorder="0" applyAlignment="0" applyProtection="0"/>
  </cellStyleXfs>
  <cellXfs count="9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2" borderId="0" xfId="0" applyFont="1" applyFill="1"/>
    <xf numFmtId="165" fontId="2" fillId="2" borderId="0" xfId="0" applyNumberFormat="1" applyFont="1" applyFill="1"/>
    <xf numFmtId="16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horizontal="right"/>
    </xf>
    <xf numFmtId="165" fontId="3" fillId="2" borderId="0" xfId="0" applyNumberFormat="1" applyFont="1" applyFill="1"/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6" fillId="0" borderId="0" xfId="0" applyFont="1"/>
    <xf numFmtId="0" fontId="3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0" fontId="1" fillId="2" borderId="1" xfId="0" applyFont="1" applyFill="1" applyBorder="1"/>
    <xf numFmtId="164" fontId="1" fillId="2" borderId="2" xfId="0" applyNumberFormat="1" applyFont="1" applyFill="1" applyBorder="1"/>
    <xf numFmtId="164" fontId="1" fillId="2" borderId="3" xfId="0" applyNumberFormat="1" applyFont="1" applyFill="1" applyBorder="1"/>
    <xf numFmtId="9" fontId="1" fillId="2" borderId="0" xfId="0" applyNumberFormat="1" applyFont="1" applyFill="1"/>
    <xf numFmtId="0" fontId="1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left"/>
    </xf>
    <xf numFmtId="1" fontId="1" fillId="2" borderId="0" xfId="0" applyNumberFormat="1" applyFont="1" applyFill="1"/>
    <xf numFmtId="167" fontId="1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1" fillId="2" borderId="5" xfId="0" applyFont="1" applyFill="1" applyBorder="1"/>
    <xf numFmtId="1" fontId="1" fillId="2" borderId="5" xfId="0" applyNumberFormat="1" applyFont="1" applyFill="1" applyBorder="1" applyAlignment="1">
      <alignment horizontal="center"/>
    </xf>
    <xf numFmtId="0" fontId="1" fillId="2" borderId="4" xfId="0" applyFont="1" applyFill="1" applyBorder="1"/>
    <xf numFmtId="1" fontId="1" fillId="2" borderId="3" xfId="0" applyNumberFormat="1" applyFont="1" applyFill="1" applyBorder="1"/>
    <xf numFmtId="165" fontId="1" fillId="2" borderId="5" xfId="0" applyNumberFormat="1" applyFont="1" applyFill="1" applyBorder="1"/>
    <xf numFmtId="164" fontId="2" fillId="2" borderId="0" xfId="0" applyNumberFormat="1" applyFont="1" applyFill="1"/>
    <xf numFmtId="166" fontId="1" fillId="2" borderId="0" xfId="1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0" fontId="12" fillId="2" borderId="0" xfId="0" applyFont="1" applyFill="1"/>
    <xf numFmtId="1" fontId="1" fillId="2" borderId="0" xfId="0" applyNumberFormat="1" applyFont="1" applyFill="1" applyAlignment="1">
      <alignment horizontal="left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" fontId="1" fillId="2" borderId="7" xfId="0" applyNumberFormat="1" applyFont="1" applyFill="1" applyBorder="1" applyAlignment="1">
      <alignment horizontal="center"/>
    </xf>
    <xf numFmtId="0" fontId="1" fillId="2" borderId="0" xfId="0" quotePrefix="1" applyFont="1" applyFill="1" applyAlignment="1">
      <alignment horizontal="right"/>
    </xf>
    <xf numFmtId="0" fontId="1" fillId="2" borderId="0" xfId="0" quotePrefix="1" applyFont="1" applyFill="1"/>
    <xf numFmtId="0" fontId="1" fillId="2" borderId="11" xfId="0" applyFont="1" applyFill="1" applyBorder="1"/>
    <xf numFmtId="0" fontId="1" fillId="2" borderId="11" xfId="0" applyFont="1" applyFill="1" applyBorder="1" applyAlignment="1">
      <alignment horizontal="right"/>
    </xf>
    <xf numFmtId="1" fontId="1" fillId="2" borderId="11" xfId="0" applyNumberFormat="1" applyFont="1" applyFill="1" applyBorder="1" applyAlignment="1">
      <alignment horizontal="center"/>
    </xf>
    <xf numFmtId="1" fontId="12" fillId="2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right"/>
    </xf>
    <xf numFmtId="0" fontId="14" fillId="2" borderId="0" xfId="0" applyFont="1" applyFill="1"/>
    <xf numFmtId="0" fontId="15" fillId="2" borderId="0" xfId="0" applyFont="1" applyFill="1"/>
    <xf numFmtId="9" fontId="0" fillId="0" borderId="0" xfId="0" applyNumberFormat="1"/>
    <xf numFmtId="0" fontId="1" fillId="2" borderId="14" xfId="0" applyFont="1" applyFill="1" applyBorder="1"/>
    <xf numFmtId="0" fontId="12" fillId="2" borderId="12" xfId="0" applyFont="1" applyFill="1" applyBorder="1"/>
    <xf numFmtId="0" fontId="12" fillId="2" borderId="13" xfId="0" applyFont="1" applyFill="1" applyBorder="1"/>
    <xf numFmtId="168" fontId="16" fillId="2" borderId="14" xfId="0" applyNumberFormat="1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12" fillId="2" borderId="0" xfId="0" applyFont="1" applyFill="1" applyAlignment="1">
      <alignment horizontal="left"/>
    </xf>
    <xf numFmtId="1" fontId="12" fillId="2" borderId="0" xfId="0" applyNumberFormat="1" applyFont="1" applyFill="1" applyAlignment="1">
      <alignment horizontal="left"/>
    </xf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9" fontId="1" fillId="2" borderId="11" xfId="0" applyNumberFormat="1" applyFont="1" applyFill="1" applyBorder="1" applyAlignment="1">
      <alignment horizontal="center"/>
    </xf>
    <xf numFmtId="0" fontId="10" fillId="0" borderId="0" xfId="0" applyFont="1"/>
    <xf numFmtId="0" fontId="17" fillId="0" borderId="0" xfId="0" applyFont="1"/>
    <xf numFmtId="0" fontId="0" fillId="3" borderId="0" xfId="0" applyFill="1"/>
    <xf numFmtId="0" fontId="18" fillId="0" borderId="0" xfId="0" applyFont="1"/>
    <xf numFmtId="0" fontId="17" fillId="0" borderId="11" xfId="0" applyFont="1" applyBorder="1"/>
    <xf numFmtId="0" fontId="0" fillId="0" borderId="11" xfId="0" applyBorder="1"/>
    <xf numFmtId="2" fontId="18" fillId="0" borderId="0" xfId="0" applyNumberFormat="1" applyFont="1"/>
    <xf numFmtId="2" fontId="0" fillId="0" borderId="0" xfId="0" applyNumberFormat="1"/>
    <xf numFmtId="0" fontId="0" fillId="0" borderId="0" xfId="0" quotePrefix="1"/>
    <xf numFmtId="0" fontId="18" fillId="4" borderId="0" xfId="0" applyFont="1" applyFill="1"/>
    <xf numFmtId="1" fontId="18" fillId="4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'5'!$J$4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FF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'5'!$J$5:$J$504</c:f>
              <c:numCache>
                <c:formatCode>0</c:formatCode>
                <c:ptCount val="500"/>
                <c:pt idx="0">
                  <c:v>127</c:v>
                </c:pt>
                <c:pt idx="1">
                  <c:v>417</c:v>
                </c:pt>
                <c:pt idx="2">
                  <c:v>274</c:v>
                </c:pt>
                <c:pt idx="3">
                  <c:v>410</c:v>
                </c:pt>
                <c:pt idx="4">
                  <c:v>305</c:v>
                </c:pt>
                <c:pt idx="5">
                  <c:v>201</c:v>
                </c:pt>
                <c:pt idx="6">
                  <c:v>356</c:v>
                </c:pt>
                <c:pt idx="7">
                  <c:v>242</c:v>
                </c:pt>
                <c:pt idx="8">
                  <c:v>293</c:v>
                </c:pt>
                <c:pt idx="9">
                  <c:v>273</c:v>
                </c:pt>
                <c:pt idx="10">
                  <c:v>322</c:v>
                </c:pt>
                <c:pt idx="11">
                  <c:v>379</c:v>
                </c:pt>
                <c:pt idx="12">
                  <c:v>140</c:v>
                </c:pt>
                <c:pt idx="13">
                  <c:v>184</c:v>
                </c:pt>
                <c:pt idx="14">
                  <c:v>174</c:v>
                </c:pt>
                <c:pt idx="15">
                  <c:v>273</c:v>
                </c:pt>
                <c:pt idx="16">
                  <c:v>329</c:v>
                </c:pt>
                <c:pt idx="17">
                  <c:v>256</c:v>
                </c:pt>
                <c:pt idx="18">
                  <c:v>175</c:v>
                </c:pt>
                <c:pt idx="19">
                  <c:v>261</c:v>
                </c:pt>
                <c:pt idx="20">
                  <c:v>143</c:v>
                </c:pt>
                <c:pt idx="21">
                  <c:v>185</c:v>
                </c:pt>
                <c:pt idx="22">
                  <c:v>180</c:v>
                </c:pt>
                <c:pt idx="23">
                  <c:v>314</c:v>
                </c:pt>
                <c:pt idx="24">
                  <c:v>397</c:v>
                </c:pt>
                <c:pt idx="25">
                  <c:v>271</c:v>
                </c:pt>
                <c:pt idx="26">
                  <c:v>311</c:v>
                </c:pt>
                <c:pt idx="27">
                  <c:v>241</c:v>
                </c:pt>
                <c:pt idx="28">
                  <c:v>397</c:v>
                </c:pt>
                <c:pt idx="29">
                  <c:v>343</c:v>
                </c:pt>
                <c:pt idx="30">
                  <c:v>398</c:v>
                </c:pt>
                <c:pt idx="31">
                  <c:v>227</c:v>
                </c:pt>
                <c:pt idx="32">
                  <c:v>312</c:v>
                </c:pt>
                <c:pt idx="33">
                  <c:v>237</c:v>
                </c:pt>
                <c:pt idx="34">
                  <c:v>365</c:v>
                </c:pt>
                <c:pt idx="35">
                  <c:v>320</c:v>
                </c:pt>
                <c:pt idx="36">
                  <c:v>191</c:v>
                </c:pt>
                <c:pt idx="37">
                  <c:v>171</c:v>
                </c:pt>
                <c:pt idx="38">
                  <c:v>217</c:v>
                </c:pt>
                <c:pt idx="39">
                  <c:v>252</c:v>
                </c:pt>
                <c:pt idx="40">
                  <c:v>239</c:v>
                </c:pt>
                <c:pt idx="41">
                  <c:v>420</c:v>
                </c:pt>
                <c:pt idx="42">
                  <c:v>135</c:v>
                </c:pt>
                <c:pt idx="43">
                  <c:v>376</c:v>
                </c:pt>
                <c:pt idx="44">
                  <c:v>168</c:v>
                </c:pt>
                <c:pt idx="45">
                  <c:v>310</c:v>
                </c:pt>
                <c:pt idx="46">
                  <c:v>152</c:v>
                </c:pt>
                <c:pt idx="47">
                  <c:v>274</c:v>
                </c:pt>
                <c:pt idx="48">
                  <c:v>328</c:v>
                </c:pt>
                <c:pt idx="49">
                  <c:v>294</c:v>
                </c:pt>
                <c:pt idx="50">
                  <c:v>231</c:v>
                </c:pt>
                <c:pt idx="51">
                  <c:v>287</c:v>
                </c:pt>
                <c:pt idx="52">
                  <c:v>391</c:v>
                </c:pt>
                <c:pt idx="53">
                  <c:v>127</c:v>
                </c:pt>
                <c:pt idx="54">
                  <c:v>418</c:v>
                </c:pt>
                <c:pt idx="55">
                  <c:v>406</c:v>
                </c:pt>
                <c:pt idx="56">
                  <c:v>189</c:v>
                </c:pt>
                <c:pt idx="57">
                  <c:v>187</c:v>
                </c:pt>
                <c:pt idx="58">
                  <c:v>359</c:v>
                </c:pt>
                <c:pt idx="59">
                  <c:v>226</c:v>
                </c:pt>
                <c:pt idx="60">
                  <c:v>352</c:v>
                </c:pt>
                <c:pt idx="61">
                  <c:v>133</c:v>
                </c:pt>
                <c:pt idx="62">
                  <c:v>369</c:v>
                </c:pt>
                <c:pt idx="63">
                  <c:v>385</c:v>
                </c:pt>
                <c:pt idx="64">
                  <c:v>368</c:v>
                </c:pt>
                <c:pt idx="65">
                  <c:v>180</c:v>
                </c:pt>
                <c:pt idx="66">
                  <c:v>130</c:v>
                </c:pt>
                <c:pt idx="67">
                  <c:v>267</c:v>
                </c:pt>
                <c:pt idx="68">
                  <c:v>187</c:v>
                </c:pt>
                <c:pt idx="69">
                  <c:v>340</c:v>
                </c:pt>
                <c:pt idx="70">
                  <c:v>321</c:v>
                </c:pt>
                <c:pt idx="71">
                  <c:v>197</c:v>
                </c:pt>
                <c:pt idx="72">
                  <c:v>239</c:v>
                </c:pt>
                <c:pt idx="73">
                  <c:v>266</c:v>
                </c:pt>
                <c:pt idx="74">
                  <c:v>328</c:v>
                </c:pt>
                <c:pt idx="75">
                  <c:v>382</c:v>
                </c:pt>
                <c:pt idx="76">
                  <c:v>187</c:v>
                </c:pt>
                <c:pt idx="77">
                  <c:v>175</c:v>
                </c:pt>
                <c:pt idx="78">
                  <c:v>361</c:v>
                </c:pt>
                <c:pt idx="79">
                  <c:v>388</c:v>
                </c:pt>
                <c:pt idx="80">
                  <c:v>361</c:v>
                </c:pt>
                <c:pt idx="81">
                  <c:v>180</c:v>
                </c:pt>
                <c:pt idx="82">
                  <c:v>375</c:v>
                </c:pt>
                <c:pt idx="83">
                  <c:v>318</c:v>
                </c:pt>
                <c:pt idx="84">
                  <c:v>346</c:v>
                </c:pt>
                <c:pt idx="85">
                  <c:v>408</c:v>
                </c:pt>
                <c:pt idx="86">
                  <c:v>420</c:v>
                </c:pt>
                <c:pt idx="87">
                  <c:v>316</c:v>
                </c:pt>
                <c:pt idx="88">
                  <c:v>386</c:v>
                </c:pt>
                <c:pt idx="89">
                  <c:v>300</c:v>
                </c:pt>
                <c:pt idx="90">
                  <c:v>150</c:v>
                </c:pt>
                <c:pt idx="91">
                  <c:v>360</c:v>
                </c:pt>
                <c:pt idx="92">
                  <c:v>121</c:v>
                </c:pt>
                <c:pt idx="93">
                  <c:v>151</c:v>
                </c:pt>
                <c:pt idx="94">
                  <c:v>354</c:v>
                </c:pt>
                <c:pt idx="95">
                  <c:v>160</c:v>
                </c:pt>
                <c:pt idx="96">
                  <c:v>406</c:v>
                </c:pt>
                <c:pt idx="97">
                  <c:v>211</c:v>
                </c:pt>
                <c:pt idx="98">
                  <c:v>408</c:v>
                </c:pt>
                <c:pt idx="99">
                  <c:v>389</c:v>
                </c:pt>
                <c:pt idx="100">
                  <c:v>214</c:v>
                </c:pt>
                <c:pt idx="101">
                  <c:v>218</c:v>
                </c:pt>
                <c:pt idx="102">
                  <c:v>277</c:v>
                </c:pt>
                <c:pt idx="103">
                  <c:v>399</c:v>
                </c:pt>
                <c:pt idx="104">
                  <c:v>216</c:v>
                </c:pt>
                <c:pt idx="105">
                  <c:v>278</c:v>
                </c:pt>
                <c:pt idx="106">
                  <c:v>257</c:v>
                </c:pt>
                <c:pt idx="107">
                  <c:v>310</c:v>
                </c:pt>
                <c:pt idx="108">
                  <c:v>367</c:v>
                </c:pt>
                <c:pt idx="109">
                  <c:v>298</c:v>
                </c:pt>
                <c:pt idx="110">
                  <c:v>395</c:v>
                </c:pt>
                <c:pt idx="111">
                  <c:v>121</c:v>
                </c:pt>
                <c:pt idx="112">
                  <c:v>203</c:v>
                </c:pt>
                <c:pt idx="113">
                  <c:v>139</c:v>
                </c:pt>
                <c:pt idx="114">
                  <c:v>176</c:v>
                </c:pt>
                <c:pt idx="115">
                  <c:v>211</c:v>
                </c:pt>
                <c:pt idx="116">
                  <c:v>326</c:v>
                </c:pt>
                <c:pt idx="117">
                  <c:v>306</c:v>
                </c:pt>
                <c:pt idx="118">
                  <c:v>318</c:v>
                </c:pt>
                <c:pt idx="119">
                  <c:v>353</c:v>
                </c:pt>
                <c:pt idx="120">
                  <c:v>226</c:v>
                </c:pt>
                <c:pt idx="121">
                  <c:v>372</c:v>
                </c:pt>
                <c:pt idx="122">
                  <c:v>343</c:v>
                </c:pt>
                <c:pt idx="123">
                  <c:v>384</c:v>
                </c:pt>
                <c:pt idx="124">
                  <c:v>403</c:v>
                </c:pt>
                <c:pt idx="125">
                  <c:v>198</c:v>
                </c:pt>
                <c:pt idx="126">
                  <c:v>129</c:v>
                </c:pt>
                <c:pt idx="127">
                  <c:v>207</c:v>
                </c:pt>
                <c:pt idx="128">
                  <c:v>129</c:v>
                </c:pt>
                <c:pt idx="129">
                  <c:v>214</c:v>
                </c:pt>
                <c:pt idx="130">
                  <c:v>284</c:v>
                </c:pt>
                <c:pt idx="131">
                  <c:v>381</c:v>
                </c:pt>
                <c:pt idx="132">
                  <c:v>245</c:v>
                </c:pt>
                <c:pt idx="133">
                  <c:v>305</c:v>
                </c:pt>
                <c:pt idx="134">
                  <c:v>329</c:v>
                </c:pt>
                <c:pt idx="135">
                  <c:v>128</c:v>
                </c:pt>
                <c:pt idx="136">
                  <c:v>355</c:v>
                </c:pt>
                <c:pt idx="137">
                  <c:v>165</c:v>
                </c:pt>
                <c:pt idx="138">
                  <c:v>258</c:v>
                </c:pt>
                <c:pt idx="139">
                  <c:v>304</c:v>
                </c:pt>
                <c:pt idx="140">
                  <c:v>383</c:v>
                </c:pt>
                <c:pt idx="141">
                  <c:v>265</c:v>
                </c:pt>
                <c:pt idx="142">
                  <c:v>311</c:v>
                </c:pt>
                <c:pt idx="143">
                  <c:v>310</c:v>
                </c:pt>
                <c:pt idx="144">
                  <c:v>277</c:v>
                </c:pt>
                <c:pt idx="145">
                  <c:v>256</c:v>
                </c:pt>
                <c:pt idx="146">
                  <c:v>325</c:v>
                </c:pt>
                <c:pt idx="147">
                  <c:v>232</c:v>
                </c:pt>
                <c:pt idx="148">
                  <c:v>259</c:v>
                </c:pt>
                <c:pt idx="149">
                  <c:v>398</c:v>
                </c:pt>
                <c:pt idx="150">
                  <c:v>187</c:v>
                </c:pt>
                <c:pt idx="151">
                  <c:v>225</c:v>
                </c:pt>
                <c:pt idx="152">
                  <c:v>248</c:v>
                </c:pt>
                <c:pt idx="153">
                  <c:v>204</c:v>
                </c:pt>
                <c:pt idx="154">
                  <c:v>197</c:v>
                </c:pt>
                <c:pt idx="155">
                  <c:v>230</c:v>
                </c:pt>
                <c:pt idx="156">
                  <c:v>329</c:v>
                </c:pt>
                <c:pt idx="157">
                  <c:v>329</c:v>
                </c:pt>
                <c:pt idx="158">
                  <c:v>410</c:v>
                </c:pt>
                <c:pt idx="159">
                  <c:v>123</c:v>
                </c:pt>
                <c:pt idx="160">
                  <c:v>184</c:v>
                </c:pt>
                <c:pt idx="161">
                  <c:v>134</c:v>
                </c:pt>
                <c:pt idx="162">
                  <c:v>238</c:v>
                </c:pt>
                <c:pt idx="163">
                  <c:v>147</c:v>
                </c:pt>
                <c:pt idx="164">
                  <c:v>302</c:v>
                </c:pt>
                <c:pt idx="165">
                  <c:v>410</c:v>
                </c:pt>
                <c:pt idx="166">
                  <c:v>221</c:v>
                </c:pt>
                <c:pt idx="167">
                  <c:v>280</c:v>
                </c:pt>
                <c:pt idx="168">
                  <c:v>196</c:v>
                </c:pt>
                <c:pt idx="169">
                  <c:v>190</c:v>
                </c:pt>
                <c:pt idx="170">
                  <c:v>371</c:v>
                </c:pt>
                <c:pt idx="171">
                  <c:v>353</c:v>
                </c:pt>
                <c:pt idx="172">
                  <c:v>275</c:v>
                </c:pt>
                <c:pt idx="173">
                  <c:v>319</c:v>
                </c:pt>
                <c:pt idx="174">
                  <c:v>161</c:v>
                </c:pt>
                <c:pt idx="175">
                  <c:v>409</c:v>
                </c:pt>
                <c:pt idx="176">
                  <c:v>336</c:v>
                </c:pt>
                <c:pt idx="177">
                  <c:v>298</c:v>
                </c:pt>
                <c:pt idx="178">
                  <c:v>189</c:v>
                </c:pt>
                <c:pt idx="179">
                  <c:v>398</c:v>
                </c:pt>
                <c:pt idx="180">
                  <c:v>197</c:v>
                </c:pt>
                <c:pt idx="181">
                  <c:v>198</c:v>
                </c:pt>
                <c:pt idx="182">
                  <c:v>342</c:v>
                </c:pt>
                <c:pt idx="183">
                  <c:v>163</c:v>
                </c:pt>
                <c:pt idx="184">
                  <c:v>330</c:v>
                </c:pt>
                <c:pt idx="185">
                  <c:v>132</c:v>
                </c:pt>
                <c:pt idx="186">
                  <c:v>380</c:v>
                </c:pt>
                <c:pt idx="187">
                  <c:v>224</c:v>
                </c:pt>
                <c:pt idx="188">
                  <c:v>141</c:v>
                </c:pt>
                <c:pt idx="189">
                  <c:v>394</c:v>
                </c:pt>
                <c:pt idx="190">
                  <c:v>171</c:v>
                </c:pt>
                <c:pt idx="191">
                  <c:v>219</c:v>
                </c:pt>
                <c:pt idx="192">
                  <c:v>263</c:v>
                </c:pt>
                <c:pt idx="193">
                  <c:v>140</c:v>
                </c:pt>
                <c:pt idx="194">
                  <c:v>409</c:v>
                </c:pt>
                <c:pt idx="195">
                  <c:v>357</c:v>
                </c:pt>
                <c:pt idx="196">
                  <c:v>278</c:v>
                </c:pt>
                <c:pt idx="197">
                  <c:v>209</c:v>
                </c:pt>
                <c:pt idx="198">
                  <c:v>172</c:v>
                </c:pt>
                <c:pt idx="199">
                  <c:v>191</c:v>
                </c:pt>
                <c:pt idx="200">
                  <c:v>124</c:v>
                </c:pt>
                <c:pt idx="201">
                  <c:v>278</c:v>
                </c:pt>
                <c:pt idx="202">
                  <c:v>234</c:v>
                </c:pt>
                <c:pt idx="203">
                  <c:v>148</c:v>
                </c:pt>
                <c:pt idx="204">
                  <c:v>205</c:v>
                </c:pt>
                <c:pt idx="205">
                  <c:v>195</c:v>
                </c:pt>
                <c:pt idx="206">
                  <c:v>307</c:v>
                </c:pt>
                <c:pt idx="207">
                  <c:v>273</c:v>
                </c:pt>
                <c:pt idx="208">
                  <c:v>346</c:v>
                </c:pt>
                <c:pt idx="209">
                  <c:v>416</c:v>
                </c:pt>
                <c:pt idx="210">
                  <c:v>387</c:v>
                </c:pt>
                <c:pt idx="211">
                  <c:v>206</c:v>
                </c:pt>
                <c:pt idx="212">
                  <c:v>257</c:v>
                </c:pt>
                <c:pt idx="213">
                  <c:v>132</c:v>
                </c:pt>
                <c:pt idx="214">
                  <c:v>214</c:v>
                </c:pt>
                <c:pt idx="215">
                  <c:v>158</c:v>
                </c:pt>
                <c:pt idx="216">
                  <c:v>291</c:v>
                </c:pt>
                <c:pt idx="217">
                  <c:v>220</c:v>
                </c:pt>
                <c:pt idx="218">
                  <c:v>187</c:v>
                </c:pt>
                <c:pt idx="219">
                  <c:v>382</c:v>
                </c:pt>
                <c:pt idx="220">
                  <c:v>389</c:v>
                </c:pt>
                <c:pt idx="221">
                  <c:v>132</c:v>
                </c:pt>
                <c:pt idx="222">
                  <c:v>345</c:v>
                </c:pt>
                <c:pt idx="223">
                  <c:v>124</c:v>
                </c:pt>
                <c:pt idx="224">
                  <c:v>298</c:v>
                </c:pt>
                <c:pt idx="225">
                  <c:v>142</c:v>
                </c:pt>
                <c:pt idx="226">
                  <c:v>302</c:v>
                </c:pt>
                <c:pt idx="227">
                  <c:v>155</c:v>
                </c:pt>
                <c:pt idx="228">
                  <c:v>316</c:v>
                </c:pt>
                <c:pt idx="229">
                  <c:v>328</c:v>
                </c:pt>
                <c:pt idx="230">
                  <c:v>369</c:v>
                </c:pt>
                <c:pt idx="231">
                  <c:v>196</c:v>
                </c:pt>
                <c:pt idx="232">
                  <c:v>289</c:v>
                </c:pt>
                <c:pt idx="233">
                  <c:v>400</c:v>
                </c:pt>
                <c:pt idx="234">
                  <c:v>295</c:v>
                </c:pt>
                <c:pt idx="235">
                  <c:v>246</c:v>
                </c:pt>
                <c:pt idx="236">
                  <c:v>161</c:v>
                </c:pt>
                <c:pt idx="237">
                  <c:v>358</c:v>
                </c:pt>
                <c:pt idx="238">
                  <c:v>253</c:v>
                </c:pt>
                <c:pt idx="239">
                  <c:v>163</c:v>
                </c:pt>
                <c:pt idx="240">
                  <c:v>155</c:v>
                </c:pt>
                <c:pt idx="241">
                  <c:v>319</c:v>
                </c:pt>
                <c:pt idx="242">
                  <c:v>337</c:v>
                </c:pt>
                <c:pt idx="243">
                  <c:v>131</c:v>
                </c:pt>
                <c:pt idx="244">
                  <c:v>226</c:v>
                </c:pt>
                <c:pt idx="245">
                  <c:v>274</c:v>
                </c:pt>
                <c:pt idx="246">
                  <c:v>364</c:v>
                </c:pt>
                <c:pt idx="247">
                  <c:v>380</c:v>
                </c:pt>
                <c:pt idx="248">
                  <c:v>269</c:v>
                </c:pt>
                <c:pt idx="249">
                  <c:v>398</c:v>
                </c:pt>
                <c:pt idx="250">
                  <c:v>319</c:v>
                </c:pt>
                <c:pt idx="251">
                  <c:v>188</c:v>
                </c:pt>
                <c:pt idx="252">
                  <c:v>316</c:v>
                </c:pt>
                <c:pt idx="253">
                  <c:v>223</c:v>
                </c:pt>
                <c:pt idx="254">
                  <c:v>165</c:v>
                </c:pt>
                <c:pt idx="255">
                  <c:v>384</c:v>
                </c:pt>
                <c:pt idx="256">
                  <c:v>354</c:v>
                </c:pt>
                <c:pt idx="257">
                  <c:v>290</c:v>
                </c:pt>
                <c:pt idx="258">
                  <c:v>343</c:v>
                </c:pt>
                <c:pt idx="259">
                  <c:v>292</c:v>
                </c:pt>
                <c:pt idx="260">
                  <c:v>281</c:v>
                </c:pt>
                <c:pt idx="261">
                  <c:v>409</c:v>
                </c:pt>
                <c:pt idx="262">
                  <c:v>190</c:v>
                </c:pt>
                <c:pt idx="263">
                  <c:v>142</c:v>
                </c:pt>
                <c:pt idx="264">
                  <c:v>222</c:v>
                </c:pt>
                <c:pt idx="265">
                  <c:v>158</c:v>
                </c:pt>
                <c:pt idx="266">
                  <c:v>143</c:v>
                </c:pt>
                <c:pt idx="267">
                  <c:v>412</c:v>
                </c:pt>
                <c:pt idx="268">
                  <c:v>411</c:v>
                </c:pt>
                <c:pt idx="269">
                  <c:v>154</c:v>
                </c:pt>
                <c:pt idx="270">
                  <c:v>237</c:v>
                </c:pt>
                <c:pt idx="271">
                  <c:v>325</c:v>
                </c:pt>
                <c:pt idx="272">
                  <c:v>318</c:v>
                </c:pt>
                <c:pt idx="273">
                  <c:v>284</c:v>
                </c:pt>
                <c:pt idx="274">
                  <c:v>225</c:v>
                </c:pt>
                <c:pt idx="275">
                  <c:v>377</c:v>
                </c:pt>
                <c:pt idx="276">
                  <c:v>182</c:v>
                </c:pt>
                <c:pt idx="277">
                  <c:v>158</c:v>
                </c:pt>
                <c:pt idx="278">
                  <c:v>261</c:v>
                </c:pt>
                <c:pt idx="279">
                  <c:v>372</c:v>
                </c:pt>
                <c:pt idx="280">
                  <c:v>408</c:v>
                </c:pt>
                <c:pt idx="281">
                  <c:v>384</c:v>
                </c:pt>
                <c:pt idx="282">
                  <c:v>226</c:v>
                </c:pt>
                <c:pt idx="283">
                  <c:v>419</c:v>
                </c:pt>
                <c:pt idx="284">
                  <c:v>227</c:v>
                </c:pt>
                <c:pt idx="285">
                  <c:v>173</c:v>
                </c:pt>
                <c:pt idx="286">
                  <c:v>202</c:v>
                </c:pt>
                <c:pt idx="287">
                  <c:v>224</c:v>
                </c:pt>
                <c:pt idx="288">
                  <c:v>322</c:v>
                </c:pt>
                <c:pt idx="289">
                  <c:v>205</c:v>
                </c:pt>
                <c:pt idx="290">
                  <c:v>141</c:v>
                </c:pt>
                <c:pt idx="291">
                  <c:v>413</c:v>
                </c:pt>
                <c:pt idx="292">
                  <c:v>267</c:v>
                </c:pt>
                <c:pt idx="293">
                  <c:v>334</c:v>
                </c:pt>
                <c:pt idx="294">
                  <c:v>291</c:v>
                </c:pt>
                <c:pt idx="295">
                  <c:v>292</c:v>
                </c:pt>
                <c:pt idx="296">
                  <c:v>327</c:v>
                </c:pt>
                <c:pt idx="297">
                  <c:v>198</c:v>
                </c:pt>
                <c:pt idx="298">
                  <c:v>412</c:v>
                </c:pt>
                <c:pt idx="299">
                  <c:v>166</c:v>
                </c:pt>
                <c:pt idx="300">
                  <c:v>174</c:v>
                </c:pt>
                <c:pt idx="301">
                  <c:v>286</c:v>
                </c:pt>
                <c:pt idx="302">
                  <c:v>208</c:v>
                </c:pt>
                <c:pt idx="303">
                  <c:v>125</c:v>
                </c:pt>
                <c:pt idx="304">
                  <c:v>230</c:v>
                </c:pt>
                <c:pt idx="305">
                  <c:v>368</c:v>
                </c:pt>
                <c:pt idx="306">
                  <c:v>382</c:v>
                </c:pt>
                <c:pt idx="307">
                  <c:v>354</c:v>
                </c:pt>
                <c:pt idx="308">
                  <c:v>178</c:v>
                </c:pt>
                <c:pt idx="309">
                  <c:v>338</c:v>
                </c:pt>
                <c:pt idx="310">
                  <c:v>195</c:v>
                </c:pt>
                <c:pt idx="311">
                  <c:v>155</c:v>
                </c:pt>
                <c:pt idx="312">
                  <c:v>340</c:v>
                </c:pt>
                <c:pt idx="313">
                  <c:v>146</c:v>
                </c:pt>
                <c:pt idx="314">
                  <c:v>360</c:v>
                </c:pt>
                <c:pt idx="315">
                  <c:v>354</c:v>
                </c:pt>
                <c:pt idx="316">
                  <c:v>123</c:v>
                </c:pt>
                <c:pt idx="317">
                  <c:v>259</c:v>
                </c:pt>
                <c:pt idx="318">
                  <c:v>343</c:v>
                </c:pt>
                <c:pt idx="319">
                  <c:v>226</c:v>
                </c:pt>
                <c:pt idx="320">
                  <c:v>196</c:v>
                </c:pt>
                <c:pt idx="321">
                  <c:v>400</c:v>
                </c:pt>
                <c:pt idx="322">
                  <c:v>273</c:v>
                </c:pt>
                <c:pt idx="323">
                  <c:v>122</c:v>
                </c:pt>
                <c:pt idx="324">
                  <c:v>175</c:v>
                </c:pt>
                <c:pt idx="325">
                  <c:v>392</c:v>
                </c:pt>
                <c:pt idx="326">
                  <c:v>240</c:v>
                </c:pt>
                <c:pt idx="327">
                  <c:v>357</c:v>
                </c:pt>
                <c:pt idx="328">
                  <c:v>320</c:v>
                </c:pt>
                <c:pt idx="329">
                  <c:v>152</c:v>
                </c:pt>
                <c:pt idx="330">
                  <c:v>252</c:v>
                </c:pt>
                <c:pt idx="331">
                  <c:v>250</c:v>
                </c:pt>
                <c:pt idx="332">
                  <c:v>265</c:v>
                </c:pt>
                <c:pt idx="333">
                  <c:v>401</c:v>
                </c:pt>
                <c:pt idx="334">
                  <c:v>416</c:v>
                </c:pt>
                <c:pt idx="335">
                  <c:v>206</c:v>
                </c:pt>
                <c:pt idx="336">
                  <c:v>133</c:v>
                </c:pt>
                <c:pt idx="337">
                  <c:v>285</c:v>
                </c:pt>
                <c:pt idx="338">
                  <c:v>233</c:v>
                </c:pt>
                <c:pt idx="339">
                  <c:v>255</c:v>
                </c:pt>
                <c:pt idx="340">
                  <c:v>383</c:v>
                </c:pt>
                <c:pt idx="341">
                  <c:v>264</c:v>
                </c:pt>
                <c:pt idx="342">
                  <c:v>162</c:v>
                </c:pt>
                <c:pt idx="343">
                  <c:v>198</c:v>
                </c:pt>
                <c:pt idx="344">
                  <c:v>132</c:v>
                </c:pt>
                <c:pt idx="345">
                  <c:v>281</c:v>
                </c:pt>
                <c:pt idx="346">
                  <c:v>292</c:v>
                </c:pt>
                <c:pt idx="347">
                  <c:v>232</c:v>
                </c:pt>
                <c:pt idx="348">
                  <c:v>215</c:v>
                </c:pt>
                <c:pt idx="349">
                  <c:v>341</c:v>
                </c:pt>
                <c:pt idx="350">
                  <c:v>232</c:v>
                </c:pt>
                <c:pt idx="351">
                  <c:v>314</c:v>
                </c:pt>
                <c:pt idx="352">
                  <c:v>229</c:v>
                </c:pt>
                <c:pt idx="353">
                  <c:v>371</c:v>
                </c:pt>
                <c:pt idx="354">
                  <c:v>286</c:v>
                </c:pt>
                <c:pt idx="355">
                  <c:v>160</c:v>
                </c:pt>
                <c:pt idx="356">
                  <c:v>315</c:v>
                </c:pt>
                <c:pt idx="357">
                  <c:v>177</c:v>
                </c:pt>
                <c:pt idx="358">
                  <c:v>128</c:v>
                </c:pt>
                <c:pt idx="359">
                  <c:v>306</c:v>
                </c:pt>
                <c:pt idx="360">
                  <c:v>335</c:v>
                </c:pt>
                <c:pt idx="361">
                  <c:v>202</c:v>
                </c:pt>
                <c:pt idx="362">
                  <c:v>261</c:v>
                </c:pt>
                <c:pt idx="363">
                  <c:v>179</c:v>
                </c:pt>
                <c:pt idx="364">
                  <c:v>382</c:v>
                </c:pt>
                <c:pt idx="365">
                  <c:v>375</c:v>
                </c:pt>
                <c:pt idx="366">
                  <c:v>354</c:v>
                </c:pt>
                <c:pt idx="367">
                  <c:v>232</c:v>
                </c:pt>
                <c:pt idx="368">
                  <c:v>212</c:v>
                </c:pt>
                <c:pt idx="369">
                  <c:v>367</c:v>
                </c:pt>
                <c:pt idx="370">
                  <c:v>277</c:v>
                </c:pt>
                <c:pt idx="371">
                  <c:v>249</c:v>
                </c:pt>
                <c:pt idx="372">
                  <c:v>212</c:v>
                </c:pt>
                <c:pt idx="373">
                  <c:v>171</c:v>
                </c:pt>
                <c:pt idx="374">
                  <c:v>268</c:v>
                </c:pt>
                <c:pt idx="375">
                  <c:v>396</c:v>
                </c:pt>
                <c:pt idx="376">
                  <c:v>203</c:v>
                </c:pt>
                <c:pt idx="377">
                  <c:v>166</c:v>
                </c:pt>
                <c:pt idx="378">
                  <c:v>418</c:v>
                </c:pt>
                <c:pt idx="379">
                  <c:v>395</c:v>
                </c:pt>
                <c:pt idx="380">
                  <c:v>239</c:v>
                </c:pt>
                <c:pt idx="381">
                  <c:v>392</c:v>
                </c:pt>
                <c:pt idx="382">
                  <c:v>240</c:v>
                </c:pt>
                <c:pt idx="383">
                  <c:v>352</c:v>
                </c:pt>
                <c:pt idx="384">
                  <c:v>250</c:v>
                </c:pt>
                <c:pt idx="385">
                  <c:v>187</c:v>
                </c:pt>
                <c:pt idx="386">
                  <c:v>318</c:v>
                </c:pt>
                <c:pt idx="387">
                  <c:v>238</c:v>
                </c:pt>
                <c:pt idx="388">
                  <c:v>263</c:v>
                </c:pt>
                <c:pt idx="389">
                  <c:v>255</c:v>
                </c:pt>
                <c:pt idx="390">
                  <c:v>233</c:v>
                </c:pt>
                <c:pt idx="391">
                  <c:v>341</c:v>
                </c:pt>
                <c:pt idx="392">
                  <c:v>302</c:v>
                </c:pt>
                <c:pt idx="393">
                  <c:v>167</c:v>
                </c:pt>
                <c:pt idx="394">
                  <c:v>200</c:v>
                </c:pt>
                <c:pt idx="395">
                  <c:v>337</c:v>
                </c:pt>
                <c:pt idx="396">
                  <c:v>321</c:v>
                </c:pt>
                <c:pt idx="397">
                  <c:v>184</c:v>
                </c:pt>
                <c:pt idx="398">
                  <c:v>311</c:v>
                </c:pt>
                <c:pt idx="399">
                  <c:v>274</c:v>
                </c:pt>
                <c:pt idx="400">
                  <c:v>415</c:v>
                </c:pt>
                <c:pt idx="401">
                  <c:v>333</c:v>
                </c:pt>
                <c:pt idx="402">
                  <c:v>281</c:v>
                </c:pt>
                <c:pt idx="403">
                  <c:v>360</c:v>
                </c:pt>
                <c:pt idx="404">
                  <c:v>311</c:v>
                </c:pt>
                <c:pt idx="405">
                  <c:v>314</c:v>
                </c:pt>
                <c:pt idx="406">
                  <c:v>125</c:v>
                </c:pt>
                <c:pt idx="407">
                  <c:v>260</c:v>
                </c:pt>
                <c:pt idx="408">
                  <c:v>390</c:v>
                </c:pt>
                <c:pt idx="409">
                  <c:v>162</c:v>
                </c:pt>
                <c:pt idx="410">
                  <c:v>211</c:v>
                </c:pt>
                <c:pt idx="411">
                  <c:v>406</c:v>
                </c:pt>
                <c:pt idx="412">
                  <c:v>269</c:v>
                </c:pt>
                <c:pt idx="413">
                  <c:v>160</c:v>
                </c:pt>
                <c:pt idx="414">
                  <c:v>120</c:v>
                </c:pt>
                <c:pt idx="415">
                  <c:v>396</c:v>
                </c:pt>
                <c:pt idx="416">
                  <c:v>404</c:v>
                </c:pt>
                <c:pt idx="417">
                  <c:v>411</c:v>
                </c:pt>
                <c:pt idx="418">
                  <c:v>148</c:v>
                </c:pt>
                <c:pt idx="419">
                  <c:v>313</c:v>
                </c:pt>
                <c:pt idx="420">
                  <c:v>404</c:v>
                </c:pt>
                <c:pt idx="421">
                  <c:v>223</c:v>
                </c:pt>
                <c:pt idx="422">
                  <c:v>185</c:v>
                </c:pt>
                <c:pt idx="423">
                  <c:v>285</c:v>
                </c:pt>
                <c:pt idx="424">
                  <c:v>294</c:v>
                </c:pt>
                <c:pt idx="425">
                  <c:v>349</c:v>
                </c:pt>
                <c:pt idx="426">
                  <c:v>319</c:v>
                </c:pt>
                <c:pt idx="427">
                  <c:v>140</c:v>
                </c:pt>
                <c:pt idx="428">
                  <c:v>252</c:v>
                </c:pt>
                <c:pt idx="429">
                  <c:v>134</c:v>
                </c:pt>
                <c:pt idx="430">
                  <c:v>272</c:v>
                </c:pt>
                <c:pt idx="431">
                  <c:v>368</c:v>
                </c:pt>
                <c:pt idx="432">
                  <c:v>345</c:v>
                </c:pt>
                <c:pt idx="433">
                  <c:v>361</c:v>
                </c:pt>
                <c:pt idx="434">
                  <c:v>386</c:v>
                </c:pt>
                <c:pt idx="435">
                  <c:v>226</c:v>
                </c:pt>
                <c:pt idx="436">
                  <c:v>209</c:v>
                </c:pt>
                <c:pt idx="437">
                  <c:v>184</c:v>
                </c:pt>
                <c:pt idx="438">
                  <c:v>272</c:v>
                </c:pt>
                <c:pt idx="439">
                  <c:v>342</c:v>
                </c:pt>
                <c:pt idx="440">
                  <c:v>388</c:v>
                </c:pt>
                <c:pt idx="441">
                  <c:v>288</c:v>
                </c:pt>
                <c:pt idx="442">
                  <c:v>417</c:v>
                </c:pt>
                <c:pt idx="443">
                  <c:v>298</c:v>
                </c:pt>
                <c:pt idx="444">
                  <c:v>178</c:v>
                </c:pt>
                <c:pt idx="445">
                  <c:v>308</c:v>
                </c:pt>
                <c:pt idx="446">
                  <c:v>324</c:v>
                </c:pt>
                <c:pt idx="447">
                  <c:v>331</c:v>
                </c:pt>
                <c:pt idx="448">
                  <c:v>288</c:v>
                </c:pt>
                <c:pt idx="449">
                  <c:v>346</c:v>
                </c:pt>
                <c:pt idx="450">
                  <c:v>181</c:v>
                </c:pt>
                <c:pt idx="451">
                  <c:v>129</c:v>
                </c:pt>
                <c:pt idx="452">
                  <c:v>241</c:v>
                </c:pt>
                <c:pt idx="453">
                  <c:v>123</c:v>
                </c:pt>
                <c:pt idx="454">
                  <c:v>221</c:v>
                </c:pt>
                <c:pt idx="455">
                  <c:v>155</c:v>
                </c:pt>
                <c:pt idx="456">
                  <c:v>303</c:v>
                </c:pt>
                <c:pt idx="457">
                  <c:v>384</c:v>
                </c:pt>
                <c:pt idx="458">
                  <c:v>215</c:v>
                </c:pt>
                <c:pt idx="459">
                  <c:v>283</c:v>
                </c:pt>
                <c:pt idx="460">
                  <c:v>314</c:v>
                </c:pt>
                <c:pt idx="461">
                  <c:v>343</c:v>
                </c:pt>
                <c:pt idx="462">
                  <c:v>382</c:v>
                </c:pt>
                <c:pt idx="463">
                  <c:v>381</c:v>
                </c:pt>
                <c:pt idx="464">
                  <c:v>371</c:v>
                </c:pt>
                <c:pt idx="465">
                  <c:v>273</c:v>
                </c:pt>
                <c:pt idx="466">
                  <c:v>359</c:v>
                </c:pt>
                <c:pt idx="467">
                  <c:v>298</c:v>
                </c:pt>
                <c:pt idx="468">
                  <c:v>417</c:v>
                </c:pt>
                <c:pt idx="469">
                  <c:v>128</c:v>
                </c:pt>
                <c:pt idx="470">
                  <c:v>385</c:v>
                </c:pt>
                <c:pt idx="471">
                  <c:v>297</c:v>
                </c:pt>
                <c:pt idx="472">
                  <c:v>125</c:v>
                </c:pt>
                <c:pt idx="473">
                  <c:v>266</c:v>
                </c:pt>
                <c:pt idx="474">
                  <c:v>378</c:v>
                </c:pt>
                <c:pt idx="475">
                  <c:v>191</c:v>
                </c:pt>
                <c:pt idx="476">
                  <c:v>154</c:v>
                </c:pt>
                <c:pt idx="477">
                  <c:v>140</c:v>
                </c:pt>
                <c:pt idx="478">
                  <c:v>196</c:v>
                </c:pt>
                <c:pt idx="479">
                  <c:v>205</c:v>
                </c:pt>
                <c:pt idx="480">
                  <c:v>355</c:v>
                </c:pt>
                <c:pt idx="481">
                  <c:v>376</c:v>
                </c:pt>
                <c:pt idx="482">
                  <c:v>120</c:v>
                </c:pt>
                <c:pt idx="483">
                  <c:v>288</c:v>
                </c:pt>
                <c:pt idx="484">
                  <c:v>314</c:v>
                </c:pt>
                <c:pt idx="485">
                  <c:v>330</c:v>
                </c:pt>
                <c:pt idx="486">
                  <c:v>377</c:v>
                </c:pt>
                <c:pt idx="487">
                  <c:v>418</c:v>
                </c:pt>
                <c:pt idx="488">
                  <c:v>341</c:v>
                </c:pt>
                <c:pt idx="489">
                  <c:v>229</c:v>
                </c:pt>
                <c:pt idx="490">
                  <c:v>404</c:v>
                </c:pt>
                <c:pt idx="491">
                  <c:v>194</c:v>
                </c:pt>
                <c:pt idx="492">
                  <c:v>269</c:v>
                </c:pt>
                <c:pt idx="493">
                  <c:v>322</c:v>
                </c:pt>
                <c:pt idx="494">
                  <c:v>279</c:v>
                </c:pt>
                <c:pt idx="495">
                  <c:v>307</c:v>
                </c:pt>
                <c:pt idx="496">
                  <c:v>202</c:v>
                </c:pt>
                <c:pt idx="497">
                  <c:v>152</c:v>
                </c:pt>
                <c:pt idx="498">
                  <c:v>275</c:v>
                </c:pt>
                <c:pt idx="499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6-4649-83B2-3ECBE0F41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523136"/>
        <c:axId val="1257524848"/>
      </c:lineChart>
      <c:catAx>
        <c:axId val="125752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24848"/>
        <c:crosses val="autoZero"/>
        <c:auto val="1"/>
        <c:lblAlgn val="ctr"/>
        <c:lblOffset val="100"/>
        <c:noMultiLvlLbl val="0"/>
      </c:catAx>
      <c:valAx>
        <c:axId val="12575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2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vs Actual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'5'!$Q$505:$Q$506</c:f>
              <c:strCache>
                <c:ptCount val="2"/>
                <c:pt idx="0">
                  <c:v>Avg Profit[500 simulation]</c:v>
                </c:pt>
                <c:pt idx="1">
                  <c:v>E[Profit]</c:v>
                </c:pt>
              </c:strCache>
            </c:strRef>
          </c:cat>
          <c:val>
            <c:numRef>
              <c:f>'5'!$R$505:$R$506</c:f>
              <c:numCache>
                <c:formatCode>"$"#,##0_);[Red]\("$"#,##0\)</c:formatCode>
                <c:ptCount val="2"/>
                <c:pt idx="0">
                  <c:v>374.33600000000001</c:v>
                </c:pt>
                <c:pt idx="1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C-6D43-84FD-2AA2737AA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249979344"/>
        <c:axId val="1272321088"/>
      </c:barChart>
      <c:catAx>
        <c:axId val="124997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21088"/>
        <c:crosses val="autoZero"/>
        <c:auto val="1"/>
        <c:lblAlgn val="ctr"/>
        <c:lblOffset val="100"/>
        <c:noMultiLvlLbl val="0"/>
      </c:catAx>
      <c:valAx>
        <c:axId val="1272321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9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'5'!$R$4</c:f>
              <c:strCache>
                <c:ptCount val="1"/>
                <c:pt idx="0">
                  <c:v>Net 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'5'!$R$5:$R$504</c:f>
              <c:numCache>
                <c:formatCode>"$"#,##0_);[Red]\("$"#,##0\)</c:formatCode>
                <c:ptCount val="500"/>
                <c:pt idx="0">
                  <c:v>-52</c:v>
                </c:pt>
                <c:pt idx="1">
                  <c:v>520</c:v>
                </c:pt>
                <c:pt idx="2">
                  <c:v>520</c:v>
                </c:pt>
                <c:pt idx="3">
                  <c:v>520</c:v>
                </c:pt>
                <c:pt idx="4">
                  <c:v>520</c:v>
                </c:pt>
                <c:pt idx="5">
                  <c:v>244</c:v>
                </c:pt>
                <c:pt idx="6">
                  <c:v>520</c:v>
                </c:pt>
                <c:pt idx="7">
                  <c:v>408</c:v>
                </c:pt>
                <c:pt idx="8">
                  <c:v>520</c:v>
                </c:pt>
                <c:pt idx="9">
                  <c:v>520</c:v>
                </c:pt>
                <c:pt idx="10">
                  <c:v>520</c:v>
                </c:pt>
                <c:pt idx="11">
                  <c:v>520</c:v>
                </c:pt>
                <c:pt idx="12">
                  <c:v>0</c:v>
                </c:pt>
                <c:pt idx="13">
                  <c:v>176</c:v>
                </c:pt>
                <c:pt idx="14">
                  <c:v>136</c:v>
                </c:pt>
                <c:pt idx="15">
                  <c:v>520</c:v>
                </c:pt>
                <c:pt idx="16">
                  <c:v>520</c:v>
                </c:pt>
                <c:pt idx="17">
                  <c:v>464</c:v>
                </c:pt>
                <c:pt idx="18">
                  <c:v>140</c:v>
                </c:pt>
                <c:pt idx="19">
                  <c:v>484</c:v>
                </c:pt>
                <c:pt idx="20">
                  <c:v>12</c:v>
                </c:pt>
                <c:pt idx="21">
                  <c:v>180</c:v>
                </c:pt>
                <c:pt idx="22">
                  <c:v>160</c:v>
                </c:pt>
                <c:pt idx="23">
                  <c:v>520</c:v>
                </c:pt>
                <c:pt idx="24">
                  <c:v>520</c:v>
                </c:pt>
                <c:pt idx="25">
                  <c:v>520</c:v>
                </c:pt>
                <c:pt idx="26">
                  <c:v>520</c:v>
                </c:pt>
                <c:pt idx="27">
                  <c:v>404</c:v>
                </c:pt>
                <c:pt idx="28">
                  <c:v>520</c:v>
                </c:pt>
                <c:pt idx="29">
                  <c:v>520</c:v>
                </c:pt>
                <c:pt idx="30">
                  <c:v>520</c:v>
                </c:pt>
                <c:pt idx="31">
                  <c:v>348</c:v>
                </c:pt>
                <c:pt idx="32">
                  <c:v>520</c:v>
                </c:pt>
                <c:pt idx="33">
                  <c:v>388</c:v>
                </c:pt>
                <c:pt idx="34">
                  <c:v>520</c:v>
                </c:pt>
                <c:pt idx="35">
                  <c:v>520</c:v>
                </c:pt>
                <c:pt idx="36">
                  <c:v>204</c:v>
                </c:pt>
                <c:pt idx="37">
                  <c:v>124</c:v>
                </c:pt>
                <c:pt idx="38">
                  <c:v>308</c:v>
                </c:pt>
                <c:pt idx="39">
                  <c:v>448</c:v>
                </c:pt>
                <c:pt idx="40">
                  <c:v>396</c:v>
                </c:pt>
                <c:pt idx="41">
                  <c:v>520</c:v>
                </c:pt>
                <c:pt idx="42">
                  <c:v>-20</c:v>
                </c:pt>
                <c:pt idx="43">
                  <c:v>520</c:v>
                </c:pt>
                <c:pt idx="44">
                  <c:v>112</c:v>
                </c:pt>
                <c:pt idx="45">
                  <c:v>520</c:v>
                </c:pt>
                <c:pt idx="46">
                  <c:v>48</c:v>
                </c:pt>
                <c:pt idx="47">
                  <c:v>520</c:v>
                </c:pt>
                <c:pt idx="48">
                  <c:v>520</c:v>
                </c:pt>
                <c:pt idx="49">
                  <c:v>520</c:v>
                </c:pt>
                <c:pt idx="50">
                  <c:v>364</c:v>
                </c:pt>
                <c:pt idx="51">
                  <c:v>520</c:v>
                </c:pt>
                <c:pt idx="52">
                  <c:v>520</c:v>
                </c:pt>
                <c:pt idx="53">
                  <c:v>-52</c:v>
                </c:pt>
                <c:pt idx="54">
                  <c:v>520</c:v>
                </c:pt>
                <c:pt idx="55">
                  <c:v>520</c:v>
                </c:pt>
                <c:pt idx="56">
                  <c:v>196</c:v>
                </c:pt>
                <c:pt idx="57">
                  <c:v>188</c:v>
                </c:pt>
                <c:pt idx="58">
                  <c:v>520</c:v>
                </c:pt>
                <c:pt idx="59">
                  <c:v>344</c:v>
                </c:pt>
                <c:pt idx="60">
                  <c:v>520</c:v>
                </c:pt>
                <c:pt idx="61">
                  <c:v>-28</c:v>
                </c:pt>
                <c:pt idx="62">
                  <c:v>520</c:v>
                </c:pt>
                <c:pt idx="63">
                  <c:v>520</c:v>
                </c:pt>
                <c:pt idx="64">
                  <c:v>520</c:v>
                </c:pt>
                <c:pt idx="65">
                  <c:v>160</c:v>
                </c:pt>
                <c:pt idx="66">
                  <c:v>-40</c:v>
                </c:pt>
                <c:pt idx="67">
                  <c:v>508</c:v>
                </c:pt>
                <c:pt idx="68">
                  <c:v>188</c:v>
                </c:pt>
                <c:pt idx="69">
                  <c:v>520</c:v>
                </c:pt>
                <c:pt idx="70">
                  <c:v>520</c:v>
                </c:pt>
                <c:pt idx="71">
                  <c:v>228</c:v>
                </c:pt>
                <c:pt idx="72">
                  <c:v>396</c:v>
                </c:pt>
                <c:pt idx="73">
                  <c:v>504</c:v>
                </c:pt>
                <c:pt idx="74">
                  <c:v>520</c:v>
                </c:pt>
                <c:pt idx="75">
                  <c:v>520</c:v>
                </c:pt>
                <c:pt idx="76">
                  <c:v>188</c:v>
                </c:pt>
                <c:pt idx="77">
                  <c:v>140</c:v>
                </c:pt>
                <c:pt idx="78">
                  <c:v>520</c:v>
                </c:pt>
                <c:pt idx="79">
                  <c:v>520</c:v>
                </c:pt>
                <c:pt idx="80">
                  <c:v>520</c:v>
                </c:pt>
                <c:pt idx="81">
                  <c:v>160</c:v>
                </c:pt>
                <c:pt idx="82">
                  <c:v>520</c:v>
                </c:pt>
                <c:pt idx="83">
                  <c:v>520</c:v>
                </c:pt>
                <c:pt idx="84">
                  <c:v>520</c:v>
                </c:pt>
                <c:pt idx="85">
                  <c:v>520</c:v>
                </c:pt>
                <c:pt idx="86">
                  <c:v>520</c:v>
                </c:pt>
                <c:pt idx="87">
                  <c:v>520</c:v>
                </c:pt>
                <c:pt idx="88">
                  <c:v>520</c:v>
                </c:pt>
                <c:pt idx="89">
                  <c:v>520</c:v>
                </c:pt>
                <c:pt idx="90">
                  <c:v>40</c:v>
                </c:pt>
                <c:pt idx="91">
                  <c:v>520</c:v>
                </c:pt>
                <c:pt idx="92">
                  <c:v>-76</c:v>
                </c:pt>
                <c:pt idx="93">
                  <c:v>44</c:v>
                </c:pt>
                <c:pt idx="94">
                  <c:v>520</c:v>
                </c:pt>
                <c:pt idx="95">
                  <c:v>80</c:v>
                </c:pt>
                <c:pt idx="96">
                  <c:v>520</c:v>
                </c:pt>
                <c:pt idx="97">
                  <c:v>284</c:v>
                </c:pt>
                <c:pt idx="98">
                  <c:v>520</c:v>
                </c:pt>
                <c:pt idx="99">
                  <c:v>520</c:v>
                </c:pt>
                <c:pt idx="100">
                  <c:v>296</c:v>
                </c:pt>
                <c:pt idx="101">
                  <c:v>312</c:v>
                </c:pt>
                <c:pt idx="102">
                  <c:v>520</c:v>
                </c:pt>
                <c:pt idx="103">
                  <c:v>520</c:v>
                </c:pt>
                <c:pt idx="104">
                  <c:v>304</c:v>
                </c:pt>
                <c:pt idx="105">
                  <c:v>520</c:v>
                </c:pt>
                <c:pt idx="106">
                  <c:v>468</c:v>
                </c:pt>
                <c:pt idx="107">
                  <c:v>520</c:v>
                </c:pt>
                <c:pt idx="108">
                  <c:v>520</c:v>
                </c:pt>
                <c:pt idx="109">
                  <c:v>520</c:v>
                </c:pt>
                <c:pt idx="110">
                  <c:v>520</c:v>
                </c:pt>
                <c:pt idx="111">
                  <c:v>-76</c:v>
                </c:pt>
                <c:pt idx="112">
                  <c:v>252</c:v>
                </c:pt>
                <c:pt idx="113">
                  <c:v>-4</c:v>
                </c:pt>
                <c:pt idx="114">
                  <c:v>144</c:v>
                </c:pt>
                <c:pt idx="115">
                  <c:v>284</c:v>
                </c:pt>
                <c:pt idx="116">
                  <c:v>520</c:v>
                </c:pt>
                <c:pt idx="117">
                  <c:v>520</c:v>
                </c:pt>
                <c:pt idx="118">
                  <c:v>520</c:v>
                </c:pt>
                <c:pt idx="119">
                  <c:v>520</c:v>
                </c:pt>
                <c:pt idx="120">
                  <c:v>344</c:v>
                </c:pt>
                <c:pt idx="121">
                  <c:v>520</c:v>
                </c:pt>
                <c:pt idx="122">
                  <c:v>520</c:v>
                </c:pt>
                <c:pt idx="123">
                  <c:v>520</c:v>
                </c:pt>
                <c:pt idx="124">
                  <c:v>520</c:v>
                </c:pt>
                <c:pt idx="125">
                  <c:v>232</c:v>
                </c:pt>
                <c:pt idx="126">
                  <c:v>-44</c:v>
                </c:pt>
                <c:pt idx="127">
                  <c:v>268</c:v>
                </c:pt>
                <c:pt idx="128">
                  <c:v>-44</c:v>
                </c:pt>
                <c:pt idx="129">
                  <c:v>296</c:v>
                </c:pt>
                <c:pt idx="130">
                  <c:v>520</c:v>
                </c:pt>
                <c:pt idx="131">
                  <c:v>520</c:v>
                </c:pt>
                <c:pt idx="132">
                  <c:v>420</c:v>
                </c:pt>
                <c:pt idx="133">
                  <c:v>520</c:v>
                </c:pt>
                <c:pt idx="134">
                  <c:v>520</c:v>
                </c:pt>
                <c:pt idx="135">
                  <c:v>-48</c:v>
                </c:pt>
                <c:pt idx="136">
                  <c:v>520</c:v>
                </c:pt>
                <c:pt idx="137">
                  <c:v>100</c:v>
                </c:pt>
                <c:pt idx="138">
                  <c:v>472</c:v>
                </c:pt>
                <c:pt idx="139">
                  <c:v>520</c:v>
                </c:pt>
                <c:pt idx="140">
                  <c:v>520</c:v>
                </c:pt>
                <c:pt idx="141">
                  <c:v>500</c:v>
                </c:pt>
                <c:pt idx="142">
                  <c:v>520</c:v>
                </c:pt>
                <c:pt idx="143">
                  <c:v>520</c:v>
                </c:pt>
                <c:pt idx="144">
                  <c:v>520</c:v>
                </c:pt>
                <c:pt idx="145">
                  <c:v>464</c:v>
                </c:pt>
                <c:pt idx="146">
                  <c:v>520</c:v>
                </c:pt>
                <c:pt idx="147">
                  <c:v>368</c:v>
                </c:pt>
                <c:pt idx="148">
                  <c:v>476</c:v>
                </c:pt>
                <c:pt idx="149">
                  <c:v>520</c:v>
                </c:pt>
                <c:pt idx="150">
                  <c:v>188</c:v>
                </c:pt>
                <c:pt idx="151">
                  <c:v>340</c:v>
                </c:pt>
                <c:pt idx="152">
                  <c:v>432</c:v>
                </c:pt>
                <c:pt idx="153">
                  <c:v>256</c:v>
                </c:pt>
                <c:pt idx="154">
                  <c:v>228</c:v>
                </c:pt>
                <c:pt idx="155">
                  <c:v>360</c:v>
                </c:pt>
                <c:pt idx="156">
                  <c:v>520</c:v>
                </c:pt>
                <c:pt idx="157">
                  <c:v>520</c:v>
                </c:pt>
                <c:pt idx="158">
                  <c:v>520</c:v>
                </c:pt>
                <c:pt idx="159">
                  <c:v>-68</c:v>
                </c:pt>
                <c:pt idx="160">
                  <c:v>176</c:v>
                </c:pt>
                <c:pt idx="161">
                  <c:v>-24</c:v>
                </c:pt>
                <c:pt idx="162">
                  <c:v>392</c:v>
                </c:pt>
                <c:pt idx="163">
                  <c:v>28</c:v>
                </c:pt>
                <c:pt idx="164">
                  <c:v>520</c:v>
                </c:pt>
                <c:pt idx="165">
                  <c:v>520</c:v>
                </c:pt>
                <c:pt idx="166">
                  <c:v>324</c:v>
                </c:pt>
                <c:pt idx="167">
                  <c:v>520</c:v>
                </c:pt>
                <c:pt idx="168">
                  <c:v>224</c:v>
                </c:pt>
                <c:pt idx="169">
                  <c:v>200</c:v>
                </c:pt>
                <c:pt idx="170">
                  <c:v>520</c:v>
                </c:pt>
                <c:pt idx="171">
                  <c:v>520</c:v>
                </c:pt>
                <c:pt idx="172">
                  <c:v>520</c:v>
                </c:pt>
                <c:pt idx="173">
                  <c:v>520</c:v>
                </c:pt>
                <c:pt idx="174">
                  <c:v>84</c:v>
                </c:pt>
                <c:pt idx="175">
                  <c:v>520</c:v>
                </c:pt>
                <c:pt idx="176">
                  <c:v>520</c:v>
                </c:pt>
                <c:pt idx="177">
                  <c:v>520</c:v>
                </c:pt>
                <c:pt idx="178">
                  <c:v>196</c:v>
                </c:pt>
                <c:pt idx="179">
                  <c:v>520</c:v>
                </c:pt>
                <c:pt idx="180">
                  <c:v>228</c:v>
                </c:pt>
                <c:pt idx="181">
                  <c:v>232</c:v>
                </c:pt>
                <c:pt idx="182">
                  <c:v>520</c:v>
                </c:pt>
                <c:pt idx="183">
                  <c:v>92</c:v>
                </c:pt>
                <c:pt idx="184">
                  <c:v>520</c:v>
                </c:pt>
                <c:pt idx="185">
                  <c:v>-32</c:v>
                </c:pt>
                <c:pt idx="186">
                  <c:v>520</c:v>
                </c:pt>
                <c:pt idx="187">
                  <c:v>336</c:v>
                </c:pt>
                <c:pt idx="188">
                  <c:v>4</c:v>
                </c:pt>
                <c:pt idx="189">
                  <c:v>520</c:v>
                </c:pt>
                <c:pt idx="190">
                  <c:v>124</c:v>
                </c:pt>
                <c:pt idx="191">
                  <c:v>316</c:v>
                </c:pt>
                <c:pt idx="192">
                  <c:v>492</c:v>
                </c:pt>
                <c:pt idx="193">
                  <c:v>0</c:v>
                </c:pt>
                <c:pt idx="194">
                  <c:v>520</c:v>
                </c:pt>
                <c:pt idx="195">
                  <c:v>520</c:v>
                </c:pt>
                <c:pt idx="196">
                  <c:v>520</c:v>
                </c:pt>
                <c:pt idx="197">
                  <c:v>276</c:v>
                </c:pt>
                <c:pt idx="198">
                  <c:v>128</c:v>
                </c:pt>
                <c:pt idx="199">
                  <c:v>204</c:v>
                </c:pt>
                <c:pt idx="200">
                  <c:v>-64</c:v>
                </c:pt>
                <c:pt idx="201">
                  <c:v>520</c:v>
                </c:pt>
                <c:pt idx="202">
                  <c:v>376</c:v>
                </c:pt>
                <c:pt idx="203">
                  <c:v>32</c:v>
                </c:pt>
                <c:pt idx="204">
                  <c:v>260</c:v>
                </c:pt>
                <c:pt idx="205">
                  <c:v>220</c:v>
                </c:pt>
                <c:pt idx="206">
                  <c:v>520</c:v>
                </c:pt>
                <c:pt idx="207">
                  <c:v>520</c:v>
                </c:pt>
                <c:pt idx="208">
                  <c:v>520</c:v>
                </c:pt>
                <c:pt idx="209">
                  <c:v>520</c:v>
                </c:pt>
                <c:pt idx="210">
                  <c:v>520</c:v>
                </c:pt>
                <c:pt idx="211">
                  <c:v>264</c:v>
                </c:pt>
                <c:pt idx="212">
                  <c:v>468</c:v>
                </c:pt>
                <c:pt idx="213">
                  <c:v>-32</c:v>
                </c:pt>
                <c:pt idx="214">
                  <c:v>296</c:v>
                </c:pt>
                <c:pt idx="215">
                  <c:v>72</c:v>
                </c:pt>
                <c:pt idx="216">
                  <c:v>520</c:v>
                </c:pt>
                <c:pt idx="217">
                  <c:v>320</c:v>
                </c:pt>
                <c:pt idx="218">
                  <c:v>188</c:v>
                </c:pt>
                <c:pt idx="219">
                  <c:v>520</c:v>
                </c:pt>
                <c:pt idx="220">
                  <c:v>520</c:v>
                </c:pt>
                <c:pt idx="221">
                  <c:v>-32</c:v>
                </c:pt>
                <c:pt idx="222">
                  <c:v>520</c:v>
                </c:pt>
                <c:pt idx="223">
                  <c:v>-64</c:v>
                </c:pt>
                <c:pt idx="224">
                  <c:v>520</c:v>
                </c:pt>
                <c:pt idx="225">
                  <c:v>8</c:v>
                </c:pt>
                <c:pt idx="226">
                  <c:v>520</c:v>
                </c:pt>
                <c:pt idx="227">
                  <c:v>60</c:v>
                </c:pt>
                <c:pt idx="228">
                  <c:v>520</c:v>
                </c:pt>
                <c:pt idx="229">
                  <c:v>520</c:v>
                </c:pt>
                <c:pt idx="230">
                  <c:v>520</c:v>
                </c:pt>
                <c:pt idx="231">
                  <c:v>224</c:v>
                </c:pt>
                <c:pt idx="232">
                  <c:v>520</c:v>
                </c:pt>
                <c:pt idx="233">
                  <c:v>520</c:v>
                </c:pt>
                <c:pt idx="234">
                  <c:v>520</c:v>
                </c:pt>
                <c:pt idx="235">
                  <c:v>424</c:v>
                </c:pt>
                <c:pt idx="236">
                  <c:v>84</c:v>
                </c:pt>
                <c:pt idx="237">
                  <c:v>520</c:v>
                </c:pt>
                <c:pt idx="238">
                  <c:v>452</c:v>
                </c:pt>
                <c:pt idx="239">
                  <c:v>92</c:v>
                </c:pt>
                <c:pt idx="240">
                  <c:v>60</c:v>
                </c:pt>
                <c:pt idx="241">
                  <c:v>520</c:v>
                </c:pt>
                <c:pt idx="242">
                  <c:v>520</c:v>
                </c:pt>
                <c:pt idx="243">
                  <c:v>-36</c:v>
                </c:pt>
                <c:pt idx="244">
                  <c:v>344</c:v>
                </c:pt>
                <c:pt idx="245">
                  <c:v>520</c:v>
                </c:pt>
                <c:pt idx="246">
                  <c:v>520</c:v>
                </c:pt>
                <c:pt idx="247">
                  <c:v>520</c:v>
                </c:pt>
                <c:pt idx="248">
                  <c:v>516</c:v>
                </c:pt>
                <c:pt idx="249">
                  <c:v>520</c:v>
                </c:pt>
                <c:pt idx="250">
                  <c:v>520</c:v>
                </c:pt>
                <c:pt idx="251">
                  <c:v>192</c:v>
                </c:pt>
                <c:pt idx="252">
                  <c:v>520</c:v>
                </c:pt>
                <c:pt idx="253">
                  <c:v>332</c:v>
                </c:pt>
                <c:pt idx="254">
                  <c:v>100</c:v>
                </c:pt>
                <c:pt idx="255">
                  <c:v>520</c:v>
                </c:pt>
                <c:pt idx="256">
                  <c:v>520</c:v>
                </c:pt>
                <c:pt idx="257">
                  <c:v>520</c:v>
                </c:pt>
                <c:pt idx="258">
                  <c:v>520</c:v>
                </c:pt>
                <c:pt idx="259">
                  <c:v>520</c:v>
                </c:pt>
                <c:pt idx="260">
                  <c:v>520</c:v>
                </c:pt>
                <c:pt idx="261">
                  <c:v>520</c:v>
                </c:pt>
                <c:pt idx="262">
                  <c:v>200</c:v>
                </c:pt>
                <c:pt idx="263">
                  <c:v>8</c:v>
                </c:pt>
                <c:pt idx="264">
                  <c:v>328</c:v>
                </c:pt>
                <c:pt idx="265">
                  <c:v>72</c:v>
                </c:pt>
                <c:pt idx="266">
                  <c:v>12</c:v>
                </c:pt>
                <c:pt idx="267">
                  <c:v>520</c:v>
                </c:pt>
                <c:pt idx="268">
                  <c:v>520</c:v>
                </c:pt>
                <c:pt idx="269">
                  <c:v>56</c:v>
                </c:pt>
                <c:pt idx="270">
                  <c:v>388</c:v>
                </c:pt>
                <c:pt idx="271">
                  <c:v>520</c:v>
                </c:pt>
                <c:pt idx="272">
                  <c:v>520</c:v>
                </c:pt>
                <c:pt idx="273">
                  <c:v>520</c:v>
                </c:pt>
                <c:pt idx="274">
                  <c:v>340</c:v>
                </c:pt>
                <c:pt idx="275">
                  <c:v>520</c:v>
                </c:pt>
                <c:pt idx="276">
                  <c:v>168</c:v>
                </c:pt>
                <c:pt idx="277">
                  <c:v>72</c:v>
                </c:pt>
                <c:pt idx="278">
                  <c:v>484</c:v>
                </c:pt>
                <c:pt idx="279">
                  <c:v>520</c:v>
                </c:pt>
                <c:pt idx="280">
                  <c:v>520</c:v>
                </c:pt>
                <c:pt idx="281">
                  <c:v>520</c:v>
                </c:pt>
                <c:pt idx="282">
                  <c:v>344</c:v>
                </c:pt>
                <c:pt idx="283">
                  <c:v>520</c:v>
                </c:pt>
                <c:pt idx="284">
                  <c:v>348</c:v>
                </c:pt>
                <c:pt idx="285">
                  <c:v>132</c:v>
                </c:pt>
                <c:pt idx="286">
                  <c:v>248</c:v>
                </c:pt>
                <c:pt idx="287">
                  <c:v>336</c:v>
                </c:pt>
                <c:pt idx="288">
                  <c:v>520</c:v>
                </c:pt>
                <c:pt idx="289">
                  <c:v>260</c:v>
                </c:pt>
                <c:pt idx="290">
                  <c:v>4</c:v>
                </c:pt>
                <c:pt idx="291">
                  <c:v>520</c:v>
                </c:pt>
                <c:pt idx="292">
                  <c:v>508</c:v>
                </c:pt>
                <c:pt idx="293">
                  <c:v>520</c:v>
                </c:pt>
                <c:pt idx="294">
                  <c:v>520</c:v>
                </c:pt>
                <c:pt idx="295">
                  <c:v>520</c:v>
                </c:pt>
                <c:pt idx="296">
                  <c:v>520</c:v>
                </c:pt>
                <c:pt idx="297">
                  <c:v>232</c:v>
                </c:pt>
                <c:pt idx="298">
                  <c:v>520</c:v>
                </c:pt>
                <c:pt idx="299">
                  <c:v>104</c:v>
                </c:pt>
                <c:pt idx="300">
                  <c:v>136</c:v>
                </c:pt>
                <c:pt idx="301">
                  <c:v>520</c:v>
                </c:pt>
                <c:pt idx="302">
                  <c:v>272</c:v>
                </c:pt>
                <c:pt idx="303">
                  <c:v>-60</c:v>
                </c:pt>
                <c:pt idx="304">
                  <c:v>360</c:v>
                </c:pt>
                <c:pt idx="305">
                  <c:v>520</c:v>
                </c:pt>
                <c:pt idx="306">
                  <c:v>520</c:v>
                </c:pt>
                <c:pt idx="307">
                  <c:v>520</c:v>
                </c:pt>
                <c:pt idx="308">
                  <c:v>152</c:v>
                </c:pt>
                <c:pt idx="309">
                  <c:v>520</c:v>
                </c:pt>
                <c:pt idx="310">
                  <c:v>220</c:v>
                </c:pt>
                <c:pt idx="311">
                  <c:v>60</c:v>
                </c:pt>
                <c:pt idx="312">
                  <c:v>520</c:v>
                </c:pt>
                <c:pt idx="313">
                  <c:v>24</c:v>
                </c:pt>
                <c:pt idx="314">
                  <c:v>520</c:v>
                </c:pt>
                <c:pt idx="315">
                  <c:v>520</c:v>
                </c:pt>
                <c:pt idx="316">
                  <c:v>-68</c:v>
                </c:pt>
                <c:pt idx="317">
                  <c:v>476</c:v>
                </c:pt>
                <c:pt idx="318">
                  <c:v>520</c:v>
                </c:pt>
                <c:pt idx="319">
                  <c:v>344</c:v>
                </c:pt>
                <c:pt idx="320">
                  <c:v>224</c:v>
                </c:pt>
                <c:pt idx="321">
                  <c:v>520</c:v>
                </c:pt>
                <c:pt idx="322">
                  <c:v>520</c:v>
                </c:pt>
                <c:pt idx="323">
                  <c:v>-72</c:v>
                </c:pt>
                <c:pt idx="324">
                  <c:v>140</c:v>
                </c:pt>
                <c:pt idx="325">
                  <c:v>520</c:v>
                </c:pt>
                <c:pt idx="326">
                  <c:v>400</c:v>
                </c:pt>
                <c:pt idx="327">
                  <c:v>520</c:v>
                </c:pt>
                <c:pt idx="328">
                  <c:v>520</c:v>
                </c:pt>
                <c:pt idx="329">
                  <c:v>48</c:v>
                </c:pt>
                <c:pt idx="330">
                  <c:v>448</c:v>
                </c:pt>
                <c:pt idx="331">
                  <c:v>440</c:v>
                </c:pt>
                <c:pt idx="332">
                  <c:v>500</c:v>
                </c:pt>
                <c:pt idx="333">
                  <c:v>520</c:v>
                </c:pt>
                <c:pt idx="334">
                  <c:v>520</c:v>
                </c:pt>
                <c:pt idx="335">
                  <c:v>264</c:v>
                </c:pt>
                <c:pt idx="336">
                  <c:v>-28</c:v>
                </c:pt>
                <c:pt idx="337">
                  <c:v>520</c:v>
                </c:pt>
                <c:pt idx="338">
                  <c:v>372</c:v>
                </c:pt>
                <c:pt idx="339">
                  <c:v>460</c:v>
                </c:pt>
                <c:pt idx="340">
                  <c:v>520</c:v>
                </c:pt>
                <c:pt idx="341">
                  <c:v>496</c:v>
                </c:pt>
                <c:pt idx="342">
                  <c:v>88</c:v>
                </c:pt>
                <c:pt idx="343">
                  <c:v>232</c:v>
                </c:pt>
                <c:pt idx="344">
                  <c:v>-32</c:v>
                </c:pt>
                <c:pt idx="345">
                  <c:v>520</c:v>
                </c:pt>
                <c:pt idx="346">
                  <c:v>520</c:v>
                </c:pt>
                <c:pt idx="347">
                  <c:v>368</c:v>
                </c:pt>
                <c:pt idx="348">
                  <c:v>300</c:v>
                </c:pt>
                <c:pt idx="349">
                  <c:v>520</c:v>
                </c:pt>
                <c:pt idx="350">
                  <c:v>368</c:v>
                </c:pt>
                <c:pt idx="351">
                  <c:v>520</c:v>
                </c:pt>
                <c:pt idx="352">
                  <c:v>356</c:v>
                </c:pt>
                <c:pt idx="353">
                  <c:v>520</c:v>
                </c:pt>
                <c:pt idx="354">
                  <c:v>520</c:v>
                </c:pt>
                <c:pt idx="355">
                  <c:v>80</c:v>
                </c:pt>
                <c:pt idx="356">
                  <c:v>520</c:v>
                </c:pt>
                <c:pt idx="357">
                  <c:v>148</c:v>
                </c:pt>
                <c:pt idx="358">
                  <c:v>-48</c:v>
                </c:pt>
                <c:pt idx="359">
                  <c:v>520</c:v>
                </c:pt>
                <c:pt idx="360">
                  <c:v>520</c:v>
                </c:pt>
                <c:pt idx="361">
                  <c:v>248</c:v>
                </c:pt>
                <c:pt idx="362">
                  <c:v>484</c:v>
                </c:pt>
                <c:pt idx="363">
                  <c:v>156</c:v>
                </c:pt>
                <c:pt idx="364">
                  <c:v>520</c:v>
                </c:pt>
                <c:pt idx="365">
                  <c:v>520</c:v>
                </c:pt>
                <c:pt idx="366">
                  <c:v>520</c:v>
                </c:pt>
                <c:pt idx="367">
                  <c:v>368</c:v>
                </c:pt>
                <c:pt idx="368">
                  <c:v>288</c:v>
                </c:pt>
                <c:pt idx="369">
                  <c:v>520</c:v>
                </c:pt>
                <c:pt idx="370">
                  <c:v>520</c:v>
                </c:pt>
                <c:pt idx="371">
                  <c:v>436</c:v>
                </c:pt>
                <c:pt idx="372">
                  <c:v>288</c:v>
                </c:pt>
                <c:pt idx="373">
                  <c:v>124</c:v>
                </c:pt>
                <c:pt idx="374">
                  <c:v>512</c:v>
                </c:pt>
                <c:pt idx="375">
                  <c:v>520</c:v>
                </c:pt>
                <c:pt idx="376">
                  <c:v>252</c:v>
                </c:pt>
                <c:pt idx="377">
                  <c:v>104</c:v>
                </c:pt>
                <c:pt idx="378">
                  <c:v>520</c:v>
                </c:pt>
                <c:pt idx="379">
                  <c:v>520</c:v>
                </c:pt>
                <c:pt idx="380">
                  <c:v>396</c:v>
                </c:pt>
                <c:pt idx="381">
                  <c:v>520</c:v>
                </c:pt>
                <c:pt idx="382">
                  <c:v>400</c:v>
                </c:pt>
                <c:pt idx="383">
                  <c:v>520</c:v>
                </c:pt>
                <c:pt idx="384">
                  <c:v>440</c:v>
                </c:pt>
                <c:pt idx="385">
                  <c:v>188</c:v>
                </c:pt>
                <c:pt idx="386">
                  <c:v>520</c:v>
                </c:pt>
                <c:pt idx="387">
                  <c:v>392</c:v>
                </c:pt>
                <c:pt idx="388">
                  <c:v>492</c:v>
                </c:pt>
                <c:pt idx="389">
                  <c:v>460</c:v>
                </c:pt>
                <c:pt idx="390">
                  <c:v>372</c:v>
                </c:pt>
                <c:pt idx="391">
                  <c:v>520</c:v>
                </c:pt>
                <c:pt idx="392">
                  <c:v>520</c:v>
                </c:pt>
                <c:pt idx="393">
                  <c:v>108</c:v>
                </c:pt>
                <c:pt idx="394">
                  <c:v>240</c:v>
                </c:pt>
                <c:pt idx="395">
                  <c:v>520</c:v>
                </c:pt>
                <c:pt idx="396">
                  <c:v>520</c:v>
                </c:pt>
                <c:pt idx="397">
                  <c:v>176</c:v>
                </c:pt>
                <c:pt idx="398">
                  <c:v>520</c:v>
                </c:pt>
                <c:pt idx="399">
                  <c:v>520</c:v>
                </c:pt>
                <c:pt idx="400">
                  <c:v>520</c:v>
                </c:pt>
                <c:pt idx="401">
                  <c:v>520</c:v>
                </c:pt>
                <c:pt idx="402">
                  <c:v>520</c:v>
                </c:pt>
                <c:pt idx="403">
                  <c:v>520</c:v>
                </c:pt>
                <c:pt idx="404">
                  <c:v>520</c:v>
                </c:pt>
                <c:pt idx="405">
                  <c:v>520</c:v>
                </c:pt>
                <c:pt idx="406">
                  <c:v>-60</c:v>
                </c:pt>
                <c:pt idx="407">
                  <c:v>480</c:v>
                </c:pt>
                <c:pt idx="408">
                  <c:v>520</c:v>
                </c:pt>
                <c:pt idx="409">
                  <c:v>88</c:v>
                </c:pt>
                <c:pt idx="410">
                  <c:v>284</c:v>
                </c:pt>
                <c:pt idx="411">
                  <c:v>520</c:v>
                </c:pt>
                <c:pt idx="412">
                  <c:v>516</c:v>
                </c:pt>
                <c:pt idx="413">
                  <c:v>80</c:v>
                </c:pt>
                <c:pt idx="414">
                  <c:v>-80</c:v>
                </c:pt>
                <c:pt idx="415">
                  <c:v>520</c:v>
                </c:pt>
                <c:pt idx="416">
                  <c:v>520</c:v>
                </c:pt>
                <c:pt idx="417">
                  <c:v>520</c:v>
                </c:pt>
                <c:pt idx="418">
                  <c:v>32</c:v>
                </c:pt>
                <c:pt idx="419">
                  <c:v>520</c:v>
                </c:pt>
                <c:pt idx="420">
                  <c:v>520</c:v>
                </c:pt>
                <c:pt idx="421">
                  <c:v>332</c:v>
                </c:pt>
                <c:pt idx="422">
                  <c:v>180</c:v>
                </c:pt>
                <c:pt idx="423">
                  <c:v>520</c:v>
                </c:pt>
                <c:pt idx="424">
                  <c:v>520</c:v>
                </c:pt>
                <c:pt idx="425">
                  <c:v>520</c:v>
                </c:pt>
                <c:pt idx="426">
                  <c:v>520</c:v>
                </c:pt>
                <c:pt idx="427">
                  <c:v>0</c:v>
                </c:pt>
                <c:pt idx="428">
                  <c:v>448</c:v>
                </c:pt>
                <c:pt idx="429">
                  <c:v>-24</c:v>
                </c:pt>
                <c:pt idx="430">
                  <c:v>520</c:v>
                </c:pt>
                <c:pt idx="431">
                  <c:v>520</c:v>
                </c:pt>
                <c:pt idx="432">
                  <c:v>520</c:v>
                </c:pt>
                <c:pt idx="433">
                  <c:v>520</c:v>
                </c:pt>
                <c:pt idx="434">
                  <c:v>520</c:v>
                </c:pt>
                <c:pt idx="435">
                  <c:v>344</c:v>
                </c:pt>
                <c:pt idx="436">
                  <c:v>276</c:v>
                </c:pt>
                <c:pt idx="437">
                  <c:v>176</c:v>
                </c:pt>
                <c:pt idx="438">
                  <c:v>520</c:v>
                </c:pt>
                <c:pt idx="439">
                  <c:v>520</c:v>
                </c:pt>
                <c:pt idx="440">
                  <c:v>520</c:v>
                </c:pt>
                <c:pt idx="441">
                  <c:v>520</c:v>
                </c:pt>
                <c:pt idx="442">
                  <c:v>520</c:v>
                </c:pt>
                <c:pt idx="443">
                  <c:v>520</c:v>
                </c:pt>
                <c:pt idx="444">
                  <c:v>152</c:v>
                </c:pt>
                <c:pt idx="445">
                  <c:v>520</c:v>
                </c:pt>
                <c:pt idx="446">
                  <c:v>520</c:v>
                </c:pt>
                <c:pt idx="447">
                  <c:v>520</c:v>
                </c:pt>
                <c:pt idx="448">
                  <c:v>520</c:v>
                </c:pt>
                <c:pt idx="449">
                  <c:v>520</c:v>
                </c:pt>
                <c:pt idx="450">
                  <c:v>164</c:v>
                </c:pt>
                <c:pt idx="451">
                  <c:v>-44</c:v>
                </c:pt>
                <c:pt idx="452">
                  <c:v>404</c:v>
                </c:pt>
                <c:pt idx="453">
                  <c:v>-68</c:v>
                </c:pt>
                <c:pt idx="454">
                  <c:v>324</c:v>
                </c:pt>
                <c:pt idx="455">
                  <c:v>60</c:v>
                </c:pt>
                <c:pt idx="456">
                  <c:v>520</c:v>
                </c:pt>
                <c:pt idx="457">
                  <c:v>520</c:v>
                </c:pt>
                <c:pt idx="458">
                  <c:v>300</c:v>
                </c:pt>
                <c:pt idx="459">
                  <c:v>520</c:v>
                </c:pt>
                <c:pt idx="460">
                  <c:v>520</c:v>
                </c:pt>
                <c:pt idx="461">
                  <c:v>520</c:v>
                </c:pt>
                <c:pt idx="462">
                  <c:v>520</c:v>
                </c:pt>
                <c:pt idx="463">
                  <c:v>520</c:v>
                </c:pt>
                <c:pt idx="464">
                  <c:v>520</c:v>
                </c:pt>
                <c:pt idx="465">
                  <c:v>520</c:v>
                </c:pt>
                <c:pt idx="466">
                  <c:v>520</c:v>
                </c:pt>
                <c:pt idx="467">
                  <c:v>520</c:v>
                </c:pt>
                <c:pt idx="468">
                  <c:v>520</c:v>
                </c:pt>
                <c:pt idx="469">
                  <c:v>-48</c:v>
                </c:pt>
                <c:pt idx="470">
                  <c:v>520</c:v>
                </c:pt>
                <c:pt idx="471">
                  <c:v>520</c:v>
                </c:pt>
                <c:pt idx="472">
                  <c:v>-60</c:v>
                </c:pt>
                <c:pt idx="473">
                  <c:v>504</c:v>
                </c:pt>
                <c:pt idx="474">
                  <c:v>520</c:v>
                </c:pt>
                <c:pt idx="475">
                  <c:v>204</c:v>
                </c:pt>
                <c:pt idx="476">
                  <c:v>56</c:v>
                </c:pt>
                <c:pt idx="477">
                  <c:v>0</c:v>
                </c:pt>
                <c:pt idx="478">
                  <c:v>224</c:v>
                </c:pt>
                <c:pt idx="479">
                  <c:v>260</c:v>
                </c:pt>
                <c:pt idx="480">
                  <c:v>520</c:v>
                </c:pt>
                <c:pt idx="481">
                  <c:v>520</c:v>
                </c:pt>
                <c:pt idx="482">
                  <c:v>-80</c:v>
                </c:pt>
                <c:pt idx="483">
                  <c:v>520</c:v>
                </c:pt>
                <c:pt idx="484">
                  <c:v>520</c:v>
                </c:pt>
                <c:pt idx="485">
                  <c:v>520</c:v>
                </c:pt>
                <c:pt idx="486">
                  <c:v>520</c:v>
                </c:pt>
                <c:pt idx="487">
                  <c:v>520</c:v>
                </c:pt>
                <c:pt idx="488">
                  <c:v>520</c:v>
                </c:pt>
                <c:pt idx="489">
                  <c:v>356</c:v>
                </c:pt>
                <c:pt idx="490">
                  <c:v>520</c:v>
                </c:pt>
                <c:pt idx="491">
                  <c:v>216</c:v>
                </c:pt>
                <c:pt idx="492">
                  <c:v>516</c:v>
                </c:pt>
                <c:pt idx="493">
                  <c:v>520</c:v>
                </c:pt>
                <c:pt idx="494">
                  <c:v>520</c:v>
                </c:pt>
                <c:pt idx="495">
                  <c:v>520</c:v>
                </c:pt>
                <c:pt idx="496">
                  <c:v>248</c:v>
                </c:pt>
                <c:pt idx="497">
                  <c:v>48</c:v>
                </c:pt>
                <c:pt idx="498">
                  <c:v>520</c:v>
                </c:pt>
                <c:pt idx="499">
                  <c:v>520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5-744E-A0AF-7FE02C093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523136"/>
        <c:axId val="1257524848"/>
      </c:scatterChart>
      <c:valAx>
        <c:axId val="125752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24848"/>
        <c:crosses val="autoZero"/>
        <c:crossBetween val="midCat"/>
      </c:valAx>
      <c:valAx>
        <c:axId val="12575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2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'6'!$R$43</c:f>
              <c:strCache>
                <c:ptCount val="1"/>
                <c:pt idx="0">
                  <c:v>Profit with reward</c:v>
                </c:pt>
              </c:strCache>
            </c:strRef>
          </c:tx>
          <c:marker>
            <c:symbol val="none"/>
          </c:marker>
          <c:xVal>
            <c:numRef>
              <c:f>'6'!$M$44:$M$92</c:f>
              <c:numCache>
                <c:formatCode>General</c:formatCode>
                <c:ptCount val="49"/>
                <c:pt idx="0">
                  <c:v>372</c:v>
                </c:pt>
                <c:pt idx="1">
                  <c:v>373</c:v>
                </c:pt>
                <c:pt idx="2">
                  <c:v>374</c:v>
                </c:pt>
                <c:pt idx="3">
                  <c:v>375</c:v>
                </c:pt>
                <c:pt idx="4">
                  <c:v>376</c:v>
                </c:pt>
                <c:pt idx="5">
                  <c:v>377</c:v>
                </c:pt>
                <c:pt idx="6">
                  <c:v>378</c:v>
                </c:pt>
                <c:pt idx="7">
                  <c:v>379</c:v>
                </c:pt>
                <c:pt idx="8">
                  <c:v>380</c:v>
                </c:pt>
                <c:pt idx="9">
                  <c:v>381</c:v>
                </c:pt>
                <c:pt idx="10">
                  <c:v>382</c:v>
                </c:pt>
                <c:pt idx="11">
                  <c:v>383</c:v>
                </c:pt>
                <c:pt idx="12">
                  <c:v>384</c:v>
                </c:pt>
                <c:pt idx="13">
                  <c:v>385</c:v>
                </c:pt>
                <c:pt idx="14">
                  <c:v>386</c:v>
                </c:pt>
                <c:pt idx="15">
                  <c:v>387</c:v>
                </c:pt>
                <c:pt idx="16">
                  <c:v>388</c:v>
                </c:pt>
                <c:pt idx="17">
                  <c:v>389</c:v>
                </c:pt>
                <c:pt idx="18">
                  <c:v>390</c:v>
                </c:pt>
                <c:pt idx="19">
                  <c:v>391</c:v>
                </c:pt>
                <c:pt idx="20">
                  <c:v>392</c:v>
                </c:pt>
                <c:pt idx="21">
                  <c:v>393</c:v>
                </c:pt>
                <c:pt idx="22">
                  <c:v>394</c:v>
                </c:pt>
                <c:pt idx="23">
                  <c:v>395</c:v>
                </c:pt>
                <c:pt idx="24">
                  <c:v>396</c:v>
                </c:pt>
                <c:pt idx="25">
                  <c:v>397</c:v>
                </c:pt>
                <c:pt idx="26">
                  <c:v>398</c:v>
                </c:pt>
                <c:pt idx="27">
                  <c:v>399</c:v>
                </c:pt>
                <c:pt idx="28">
                  <c:v>400</c:v>
                </c:pt>
                <c:pt idx="29">
                  <c:v>401</c:v>
                </c:pt>
                <c:pt idx="30">
                  <c:v>402</c:v>
                </c:pt>
                <c:pt idx="31">
                  <c:v>403</c:v>
                </c:pt>
                <c:pt idx="32">
                  <c:v>404</c:v>
                </c:pt>
                <c:pt idx="33">
                  <c:v>405</c:v>
                </c:pt>
                <c:pt idx="34">
                  <c:v>406</c:v>
                </c:pt>
                <c:pt idx="35">
                  <c:v>407</c:v>
                </c:pt>
                <c:pt idx="36">
                  <c:v>408</c:v>
                </c:pt>
                <c:pt idx="37">
                  <c:v>409</c:v>
                </c:pt>
                <c:pt idx="38">
                  <c:v>410</c:v>
                </c:pt>
                <c:pt idx="39">
                  <c:v>411</c:v>
                </c:pt>
                <c:pt idx="40">
                  <c:v>412</c:v>
                </c:pt>
                <c:pt idx="41">
                  <c:v>413</c:v>
                </c:pt>
                <c:pt idx="42">
                  <c:v>414</c:v>
                </c:pt>
                <c:pt idx="43">
                  <c:v>415</c:v>
                </c:pt>
                <c:pt idx="44">
                  <c:v>416</c:v>
                </c:pt>
                <c:pt idx="45">
                  <c:v>417</c:v>
                </c:pt>
                <c:pt idx="46">
                  <c:v>418</c:v>
                </c:pt>
                <c:pt idx="47">
                  <c:v>419</c:v>
                </c:pt>
                <c:pt idx="48">
                  <c:v>420</c:v>
                </c:pt>
              </c:numCache>
            </c:numRef>
          </c:xVal>
          <c:yVal>
            <c:numRef>
              <c:f>'6'!$R$44:$R$92</c:f>
              <c:numCache>
                <c:formatCode>0</c:formatCode>
                <c:ptCount val="49"/>
                <c:pt idx="0">
                  <c:v>300.63999999999965</c:v>
                </c:pt>
                <c:pt idx="1">
                  <c:v>299.27333333333331</c:v>
                </c:pt>
                <c:pt idx="2">
                  <c:v>297.89333333333343</c:v>
                </c:pt>
                <c:pt idx="3">
                  <c:v>296.5</c:v>
                </c:pt>
                <c:pt idx="4">
                  <c:v>295.09333333333325</c:v>
                </c:pt>
                <c:pt idx="5">
                  <c:v>293.6733333333334</c:v>
                </c:pt>
                <c:pt idx="6">
                  <c:v>292.24</c:v>
                </c:pt>
                <c:pt idx="7">
                  <c:v>290.79333333333329</c:v>
                </c:pt>
                <c:pt idx="8">
                  <c:v>449.33333333333326</c:v>
                </c:pt>
                <c:pt idx="9">
                  <c:v>447.86000000000035</c:v>
                </c:pt>
                <c:pt idx="10">
                  <c:v>446.37333333333322</c:v>
                </c:pt>
                <c:pt idx="11">
                  <c:v>444.87333333333322</c:v>
                </c:pt>
                <c:pt idx="12">
                  <c:v>443.3599999999999</c:v>
                </c:pt>
                <c:pt idx="13">
                  <c:v>441.83333333333326</c:v>
                </c:pt>
                <c:pt idx="14">
                  <c:v>440.29333333333329</c:v>
                </c:pt>
                <c:pt idx="15">
                  <c:v>438.74</c:v>
                </c:pt>
                <c:pt idx="16">
                  <c:v>437.1733333333334</c:v>
                </c:pt>
                <c:pt idx="17">
                  <c:v>435.59333333333325</c:v>
                </c:pt>
                <c:pt idx="18">
                  <c:v>434</c:v>
                </c:pt>
                <c:pt idx="19">
                  <c:v>432.39333333333343</c:v>
                </c:pt>
                <c:pt idx="20">
                  <c:v>430.77333333333331</c:v>
                </c:pt>
                <c:pt idx="21">
                  <c:v>429.13999999999965</c:v>
                </c:pt>
                <c:pt idx="22">
                  <c:v>427.49333333333357</c:v>
                </c:pt>
                <c:pt idx="23">
                  <c:v>425.83333333333326</c:v>
                </c:pt>
                <c:pt idx="24">
                  <c:v>424.16000000000008</c:v>
                </c:pt>
                <c:pt idx="25">
                  <c:v>422.47333333333336</c:v>
                </c:pt>
                <c:pt idx="26">
                  <c:v>420.77333333333331</c:v>
                </c:pt>
                <c:pt idx="27">
                  <c:v>419.05999999999972</c:v>
                </c:pt>
                <c:pt idx="28">
                  <c:v>470.66666666666657</c:v>
                </c:pt>
                <c:pt idx="29">
                  <c:v>468.92666666666656</c:v>
                </c:pt>
                <c:pt idx="30">
                  <c:v>467.17333333333323</c:v>
                </c:pt>
                <c:pt idx="31">
                  <c:v>465.40666666666681</c:v>
                </c:pt>
                <c:pt idx="32">
                  <c:v>463.62666666666661</c:v>
                </c:pt>
                <c:pt idx="33">
                  <c:v>461.83333333333331</c:v>
                </c:pt>
                <c:pt idx="34">
                  <c:v>460.0266666666667</c:v>
                </c:pt>
                <c:pt idx="35">
                  <c:v>458.20666666666654</c:v>
                </c:pt>
                <c:pt idx="36">
                  <c:v>456.37333333333328</c:v>
                </c:pt>
                <c:pt idx="37">
                  <c:v>454.5266666666667</c:v>
                </c:pt>
                <c:pt idx="38">
                  <c:v>452.66666666666703</c:v>
                </c:pt>
                <c:pt idx="39">
                  <c:v>450.79333333333335</c:v>
                </c:pt>
                <c:pt idx="40">
                  <c:v>448.90666666666681</c:v>
                </c:pt>
                <c:pt idx="41">
                  <c:v>447.00666666666672</c:v>
                </c:pt>
                <c:pt idx="42">
                  <c:v>445.09333333333331</c:v>
                </c:pt>
                <c:pt idx="43">
                  <c:v>443.16666666666703</c:v>
                </c:pt>
                <c:pt idx="44">
                  <c:v>441.22666666666674</c:v>
                </c:pt>
                <c:pt idx="45">
                  <c:v>439.2733333333336</c:v>
                </c:pt>
                <c:pt idx="46">
                  <c:v>437.30666666666667</c:v>
                </c:pt>
                <c:pt idx="47">
                  <c:v>435.32666666666688</c:v>
                </c:pt>
                <c:pt idx="48">
                  <c:v>433.33333333333331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B2-A84A-BCAC-C9A09FAC0B2B}"/>
            </c:ext>
          </c:extLst>
        </c:ser>
        <c:ser>
          <c:idx val="0"/>
          <c:order val="1"/>
          <c:tx>
            <c:strRef>
              <c:f>'6'!$S$43</c:f>
              <c:strCache>
                <c:ptCount val="1"/>
                <c:pt idx="0">
                  <c:v>Optimal profit w/o reward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'6'!$M$44:$M$92</c:f>
              <c:numCache>
                <c:formatCode>General</c:formatCode>
                <c:ptCount val="49"/>
                <c:pt idx="0">
                  <c:v>372</c:v>
                </c:pt>
                <c:pt idx="1">
                  <c:v>373</c:v>
                </c:pt>
                <c:pt idx="2">
                  <c:v>374</c:v>
                </c:pt>
                <c:pt idx="3">
                  <c:v>375</c:v>
                </c:pt>
                <c:pt idx="4">
                  <c:v>376</c:v>
                </c:pt>
                <c:pt idx="5">
                  <c:v>377</c:v>
                </c:pt>
                <c:pt idx="6">
                  <c:v>378</c:v>
                </c:pt>
                <c:pt idx="7">
                  <c:v>379</c:v>
                </c:pt>
                <c:pt idx="8">
                  <c:v>380</c:v>
                </c:pt>
                <c:pt idx="9">
                  <c:v>381</c:v>
                </c:pt>
                <c:pt idx="10">
                  <c:v>382</c:v>
                </c:pt>
                <c:pt idx="11">
                  <c:v>383</c:v>
                </c:pt>
                <c:pt idx="12">
                  <c:v>384</c:v>
                </c:pt>
                <c:pt idx="13">
                  <c:v>385</c:v>
                </c:pt>
                <c:pt idx="14">
                  <c:v>386</c:v>
                </c:pt>
                <c:pt idx="15">
                  <c:v>387</c:v>
                </c:pt>
                <c:pt idx="16">
                  <c:v>388</c:v>
                </c:pt>
                <c:pt idx="17">
                  <c:v>389</c:v>
                </c:pt>
                <c:pt idx="18">
                  <c:v>390</c:v>
                </c:pt>
                <c:pt idx="19">
                  <c:v>391</c:v>
                </c:pt>
                <c:pt idx="20">
                  <c:v>392</c:v>
                </c:pt>
                <c:pt idx="21">
                  <c:v>393</c:v>
                </c:pt>
                <c:pt idx="22">
                  <c:v>394</c:v>
                </c:pt>
                <c:pt idx="23">
                  <c:v>395</c:v>
                </c:pt>
                <c:pt idx="24">
                  <c:v>396</c:v>
                </c:pt>
                <c:pt idx="25">
                  <c:v>397</c:v>
                </c:pt>
                <c:pt idx="26">
                  <c:v>398</c:v>
                </c:pt>
                <c:pt idx="27">
                  <c:v>399</c:v>
                </c:pt>
                <c:pt idx="28">
                  <c:v>400</c:v>
                </c:pt>
                <c:pt idx="29">
                  <c:v>401</c:v>
                </c:pt>
                <c:pt idx="30">
                  <c:v>402</c:v>
                </c:pt>
                <c:pt idx="31">
                  <c:v>403</c:v>
                </c:pt>
                <c:pt idx="32">
                  <c:v>404</c:v>
                </c:pt>
                <c:pt idx="33">
                  <c:v>405</c:v>
                </c:pt>
                <c:pt idx="34">
                  <c:v>406</c:v>
                </c:pt>
                <c:pt idx="35">
                  <c:v>407</c:v>
                </c:pt>
                <c:pt idx="36">
                  <c:v>408</c:v>
                </c:pt>
                <c:pt idx="37">
                  <c:v>409</c:v>
                </c:pt>
                <c:pt idx="38">
                  <c:v>410</c:v>
                </c:pt>
                <c:pt idx="39">
                  <c:v>411</c:v>
                </c:pt>
                <c:pt idx="40">
                  <c:v>412</c:v>
                </c:pt>
                <c:pt idx="41">
                  <c:v>413</c:v>
                </c:pt>
                <c:pt idx="42">
                  <c:v>414</c:v>
                </c:pt>
                <c:pt idx="43">
                  <c:v>415</c:v>
                </c:pt>
                <c:pt idx="44">
                  <c:v>416</c:v>
                </c:pt>
                <c:pt idx="45">
                  <c:v>417</c:v>
                </c:pt>
                <c:pt idx="46">
                  <c:v>418</c:v>
                </c:pt>
                <c:pt idx="47">
                  <c:v>419</c:v>
                </c:pt>
                <c:pt idx="48">
                  <c:v>420</c:v>
                </c:pt>
              </c:numCache>
            </c:numRef>
          </c:xVal>
          <c:yVal>
            <c:numRef>
              <c:f>'6'!$S$44:$S$92</c:f>
              <c:numCache>
                <c:formatCode>"$"#,##0_);[Red]\("$"#,##0\)</c:formatCode>
                <c:ptCount val="49"/>
                <c:pt idx="0">
                  <c:v>370</c:v>
                </c:pt>
                <c:pt idx="1">
                  <c:v>370</c:v>
                </c:pt>
                <c:pt idx="2">
                  <c:v>370</c:v>
                </c:pt>
                <c:pt idx="3">
                  <c:v>370</c:v>
                </c:pt>
                <c:pt idx="4">
                  <c:v>370</c:v>
                </c:pt>
                <c:pt idx="5">
                  <c:v>370</c:v>
                </c:pt>
                <c:pt idx="6">
                  <c:v>370</c:v>
                </c:pt>
                <c:pt idx="7">
                  <c:v>370</c:v>
                </c:pt>
                <c:pt idx="8">
                  <c:v>370</c:v>
                </c:pt>
                <c:pt idx="9">
                  <c:v>370</c:v>
                </c:pt>
                <c:pt idx="10">
                  <c:v>370</c:v>
                </c:pt>
                <c:pt idx="11">
                  <c:v>370</c:v>
                </c:pt>
                <c:pt idx="12">
                  <c:v>370</c:v>
                </c:pt>
                <c:pt idx="13">
                  <c:v>370</c:v>
                </c:pt>
                <c:pt idx="14">
                  <c:v>370</c:v>
                </c:pt>
                <c:pt idx="15">
                  <c:v>370</c:v>
                </c:pt>
                <c:pt idx="16">
                  <c:v>370</c:v>
                </c:pt>
                <c:pt idx="17">
                  <c:v>370</c:v>
                </c:pt>
                <c:pt idx="18">
                  <c:v>370</c:v>
                </c:pt>
                <c:pt idx="19">
                  <c:v>370</c:v>
                </c:pt>
                <c:pt idx="20">
                  <c:v>370</c:v>
                </c:pt>
                <c:pt idx="21">
                  <c:v>370</c:v>
                </c:pt>
                <c:pt idx="22">
                  <c:v>370</c:v>
                </c:pt>
                <c:pt idx="23">
                  <c:v>370</c:v>
                </c:pt>
                <c:pt idx="24">
                  <c:v>370</c:v>
                </c:pt>
                <c:pt idx="25">
                  <c:v>370</c:v>
                </c:pt>
                <c:pt idx="26">
                  <c:v>370</c:v>
                </c:pt>
                <c:pt idx="27">
                  <c:v>370</c:v>
                </c:pt>
                <c:pt idx="28">
                  <c:v>370</c:v>
                </c:pt>
                <c:pt idx="29">
                  <c:v>370</c:v>
                </c:pt>
                <c:pt idx="30">
                  <c:v>370</c:v>
                </c:pt>
                <c:pt idx="31">
                  <c:v>370</c:v>
                </c:pt>
                <c:pt idx="32">
                  <c:v>370</c:v>
                </c:pt>
                <c:pt idx="33">
                  <c:v>370</c:v>
                </c:pt>
                <c:pt idx="34">
                  <c:v>370</c:v>
                </c:pt>
                <c:pt idx="35">
                  <c:v>370</c:v>
                </c:pt>
                <c:pt idx="36">
                  <c:v>370</c:v>
                </c:pt>
                <c:pt idx="37">
                  <c:v>370</c:v>
                </c:pt>
                <c:pt idx="38">
                  <c:v>370</c:v>
                </c:pt>
                <c:pt idx="39">
                  <c:v>370</c:v>
                </c:pt>
                <c:pt idx="40">
                  <c:v>370</c:v>
                </c:pt>
                <c:pt idx="41">
                  <c:v>370</c:v>
                </c:pt>
                <c:pt idx="42">
                  <c:v>370</c:v>
                </c:pt>
                <c:pt idx="43">
                  <c:v>370</c:v>
                </c:pt>
                <c:pt idx="44">
                  <c:v>370</c:v>
                </c:pt>
                <c:pt idx="45">
                  <c:v>370</c:v>
                </c:pt>
                <c:pt idx="46">
                  <c:v>370</c:v>
                </c:pt>
                <c:pt idx="47">
                  <c:v>370</c:v>
                </c:pt>
                <c:pt idx="48">
                  <c:v>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B2-A84A-BCAC-C9A09FAC0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003600"/>
        <c:axId val="268912207"/>
      </c:scatterChart>
      <c:valAx>
        <c:axId val="35500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912207"/>
        <c:crosses val="autoZero"/>
        <c:crossBetween val="midCat"/>
      </c:valAx>
      <c:valAx>
        <c:axId val="2689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3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'6'!$W$43</c:f>
              <c:strCache>
                <c:ptCount val="1"/>
                <c:pt idx="0">
                  <c:v>Exp 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'6'!$V$44:$V$344</c:f>
              <c:numCache>
                <c:formatCode>General</c:formatCode>
                <c:ptCount val="301"/>
                <c:pt idx="0">
                  <c:v>120</c:v>
                </c:pt>
                <c:pt idx="1">
                  <c:v>121</c:v>
                </c:pt>
                <c:pt idx="2">
                  <c:v>122</c:v>
                </c:pt>
                <c:pt idx="3">
                  <c:v>123</c:v>
                </c:pt>
                <c:pt idx="4">
                  <c:v>124</c:v>
                </c:pt>
                <c:pt idx="5">
                  <c:v>125</c:v>
                </c:pt>
                <c:pt idx="6">
                  <c:v>126</c:v>
                </c:pt>
                <c:pt idx="7">
                  <c:v>127</c:v>
                </c:pt>
                <c:pt idx="8">
                  <c:v>128</c:v>
                </c:pt>
                <c:pt idx="9">
                  <c:v>129</c:v>
                </c:pt>
                <c:pt idx="10">
                  <c:v>130</c:v>
                </c:pt>
                <c:pt idx="11">
                  <c:v>131</c:v>
                </c:pt>
                <c:pt idx="12">
                  <c:v>132</c:v>
                </c:pt>
                <c:pt idx="13">
                  <c:v>133</c:v>
                </c:pt>
                <c:pt idx="14">
                  <c:v>134</c:v>
                </c:pt>
                <c:pt idx="15">
                  <c:v>135</c:v>
                </c:pt>
                <c:pt idx="16">
                  <c:v>136</c:v>
                </c:pt>
                <c:pt idx="17">
                  <c:v>137</c:v>
                </c:pt>
                <c:pt idx="18">
                  <c:v>138</c:v>
                </c:pt>
                <c:pt idx="19">
                  <c:v>139</c:v>
                </c:pt>
                <c:pt idx="20">
                  <c:v>140</c:v>
                </c:pt>
                <c:pt idx="21">
                  <c:v>141</c:v>
                </c:pt>
                <c:pt idx="22">
                  <c:v>142</c:v>
                </c:pt>
                <c:pt idx="23">
                  <c:v>143</c:v>
                </c:pt>
                <c:pt idx="24">
                  <c:v>144</c:v>
                </c:pt>
                <c:pt idx="25">
                  <c:v>145</c:v>
                </c:pt>
                <c:pt idx="26">
                  <c:v>146</c:v>
                </c:pt>
                <c:pt idx="27">
                  <c:v>147</c:v>
                </c:pt>
                <c:pt idx="28">
                  <c:v>148</c:v>
                </c:pt>
                <c:pt idx="29">
                  <c:v>149</c:v>
                </c:pt>
                <c:pt idx="30">
                  <c:v>150</c:v>
                </c:pt>
                <c:pt idx="31">
                  <c:v>151</c:v>
                </c:pt>
                <c:pt idx="32">
                  <c:v>152</c:v>
                </c:pt>
                <c:pt idx="33">
                  <c:v>153</c:v>
                </c:pt>
                <c:pt idx="34">
                  <c:v>154</c:v>
                </c:pt>
                <c:pt idx="35">
                  <c:v>155</c:v>
                </c:pt>
                <c:pt idx="36">
                  <c:v>156</c:v>
                </c:pt>
                <c:pt idx="37">
                  <c:v>157</c:v>
                </c:pt>
                <c:pt idx="38">
                  <c:v>158</c:v>
                </c:pt>
                <c:pt idx="39">
                  <c:v>159</c:v>
                </c:pt>
                <c:pt idx="40">
                  <c:v>160</c:v>
                </c:pt>
                <c:pt idx="41">
                  <c:v>161</c:v>
                </c:pt>
                <c:pt idx="42">
                  <c:v>162</c:v>
                </c:pt>
                <c:pt idx="43">
                  <c:v>163</c:v>
                </c:pt>
                <c:pt idx="44">
                  <c:v>164</c:v>
                </c:pt>
                <c:pt idx="45">
                  <c:v>165</c:v>
                </c:pt>
                <c:pt idx="46">
                  <c:v>166</c:v>
                </c:pt>
                <c:pt idx="47">
                  <c:v>167</c:v>
                </c:pt>
                <c:pt idx="48">
                  <c:v>168</c:v>
                </c:pt>
                <c:pt idx="49">
                  <c:v>169</c:v>
                </c:pt>
                <c:pt idx="50">
                  <c:v>170</c:v>
                </c:pt>
                <c:pt idx="51">
                  <c:v>171</c:v>
                </c:pt>
                <c:pt idx="52">
                  <c:v>172</c:v>
                </c:pt>
                <c:pt idx="53">
                  <c:v>173</c:v>
                </c:pt>
                <c:pt idx="54">
                  <c:v>174</c:v>
                </c:pt>
                <c:pt idx="55">
                  <c:v>175</c:v>
                </c:pt>
                <c:pt idx="56">
                  <c:v>176</c:v>
                </c:pt>
                <c:pt idx="57">
                  <c:v>177</c:v>
                </c:pt>
                <c:pt idx="58">
                  <c:v>178</c:v>
                </c:pt>
                <c:pt idx="59">
                  <c:v>179</c:v>
                </c:pt>
                <c:pt idx="60">
                  <c:v>180</c:v>
                </c:pt>
                <c:pt idx="61">
                  <c:v>181</c:v>
                </c:pt>
                <c:pt idx="62">
                  <c:v>182</c:v>
                </c:pt>
                <c:pt idx="63">
                  <c:v>183</c:v>
                </c:pt>
                <c:pt idx="64">
                  <c:v>184</c:v>
                </c:pt>
                <c:pt idx="65">
                  <c:v>185</c:v>
                </c:pt>
                <c:pt idx="66">
                  <c:v>186</c:v>
                </c:pt>
                <c:pt idx="67">
                  <c:v>187</c:v>
                </c:pt>
                <c:pt idx="68">
                  <c:v>188</c:v>
                </c:pt>
                <c:pt idx="69">
                  <c:v>189</c:v>
                </c:pt>
                <c:pt idx="70">
                  <c:v>190</c:v>
                </c:pt>
                <c:pt idx="71">
                  <c:v>191</c:v>
                </c:pt>
                <c:pt idx="72">
                  <c:v>192</c:v>
                </c:pt>
                <c:pt idx="73">
                  <c:v>193</c:v>
                </c:pt>
                <c:pt idx="74">
                  <c:v>194</c:v>
                </c:pt>
                <c:pt idx="75">
                  <c:v>195</c:v>
                </c:pt>
                <c:pt idx="76">
                  <c:v>196</c:v>
                </c:pt>
                <c:pt idx="77">
                  <c:v>197</c:v>
                </c:pt>
                <c:pt idx="78">
                  <c:v>198</c:v>
                </c:pt>
                <c:pt idx="79">
                  <c:v>199</c:v>
                </c:pt>
                <c:pt idx="80">
                  <c:v>200</c:v>
                </c:pt>
                <c:pt idx="81">
                  <c:v>201</c:v>
                </c:pt>
                <c:pt idx="82">
                  <c:v>202</c:v>
                </c:pt>
                <c:pt idx="83">
                  <c:v>203</c:v>
                </c:pt>
                <c:pt idx="84">
                  <c:v>204</c:v>
                </c:pt>
                <c:pt idx="85">
                  <c:v>205</c:v>
                </c:pt>
                <c:pt idx="86">
                  <c:v>206</c:v>
                </c:pt>
                <c:pt idx="87">
                  <c:v>207</c:v>
                </c:pt>
                <c:pt idx="88">
                  <c:v>208</c:v>
                </c:pt>
                <c:pt idx="89">
                  <c:v>209</c:v>
                </c:pt>
                <c:pt idx="90">
                  <c:v>210</c:v>
                </c:pt>
                <c:pt idx="91">
                  <c:v>211</c:v>
                </c:pt>
                <c:pt idx="92">
                  <c:v>212</c:v>
                </c:pt>
                <c:pt idx="93">
                  <c:v>213</c:v>
                </c:pt>
                <c:pt idx="94">
                  <c:v>214</c:v>
                </c:pt>
                <c:pt idx="95">
                  <c:v>215</c:v>
                </c:pt>
                <c:pt idx="96">
                  <c:v>216</c:v>
                </c:pt>
                <c:pt idx="97">
                  <c:v>217</c:v>
                </c:pt>
                <c:pt idx="98">
                  <c:v>218</c:v>
                </c:pt>
                <c:pt idx="99">
                  <c:v>219</c:v>
                </c:pt>
                <c:pt idx="100">
                  <c:v>220</c:v>
                </c:pt>
                <c:pt idx="101">
                  <c:v>221</c:v>
                </c:pt>
                <c:pt idx="102">
                  <c:v>222</c:v>
                </c:pt>
                <c:pt idx="103">
                  <c:v>223</c:v>
                </c:pt>
                <c:pt idx="104">
                  <c:v>224</c:v>
                </c:pt>
                <c:pt idx="105">
                  <c:v>225</c:v>
                </c:pt>
                <c:pt idx="106">
                  <c:v>226</c:v>
                </c:pt>
                <c:pt idx="107">
                  <c:v>227</c:v>
                </c:pt>
                <c:pt idx="108">
                  <c:v>228</c:v>
                </c:pt>
                <c:pt idx="109">
                  <c:v>229</c:v>
                </c:pt>
                <c:pt idx="110">
                  <c:v>230</c:v>
                </c:pt>
                <c:pt idx="111">
                  <c:v>231</c:v>
                </c:pt>
                <c:pt idx="112">
                  <c:v>232</c:v>
                </c:pt>
                <c:pt idx="113">
                  <c:v>233</c:v>
                </c:pt>
                <c:pt idx="114">
                  <c:v>234</c:v>
                </c:pt>
                <c:pt idx="115">
                  <c:v>235</c:v>
                </c:pt>
                <c:pt idx="116">
                  <c:v>236</c:v>
                </c:pt>
                <c:pt idx="117">
                  <c:v>237</c:v>
                </c:pt>
                <c:pt idx="118">
                  <c:v>238</c:v>
                </c:pt>
                <c:pt idx="119">
                  <c:v>239</c:v>
                </c:pt>
                <c:pt idx="120">
                  <c:v>240</c:v>
                </c:pt>
                <c:pt idx="121">
                  <c:v>241</c:v>
                </c:pt>
                <c:pt idx="122">
                  <c:v>242</c:v>
                </c:pt>
                <c:pt idx="123">
                  <c:v>243</c:v>
                </c:pt>
                <c:pt idx="124">
                  <c:v>244</c:v>
                </c:pt>
                <c:pt idx="125">
                  <c:v>245</c:v>
                </c:pt>
                <c:pt idx="126">
                  <c:v>246</c:v>
                </c:pt>
                <c:pt idx="127">
                  <c:v>247</c:v>
                </c:pt>
                <c:pt idx="128">
                  <c:v>248</c:v>
                </c:pt>
                <c:pt idx="129">
                  <c:v>249</c:v>
                </c:pt>
                <c:pt idx="130">
                  <c:v>250</c:v>
                </c:pt>
                <c:pt idx="131">
                  <c:v>251</c:v>
                </c:pt>
                <c:pt idx="132">
                  <c:v>252</c:v>
                </c:pt>
                <c:pt idx="133">
                  <c:v>253</c:v>
                </c:pt>
                <c:pt idx="134">
                  <c:v>254</c:v>
                </c:pt>
                <c:pt idx="135">
                  <c:v>255</c:v>
                </c:pt>
                <c:pt idx="136">
                  <c:v>256</c:v>
                </c:pt>
                <c:pt idx="137">
                  <c:v>257</c:v>
                </c:pt>
                <c:pt idx="138">
                  <c:v>258</c:v>
                </c:pt>
                <c:pt idx="139">
                  <c:v>259</c:v>
                </c:pt>
                <c:pt idx="140">
                  <c:v>260</c:v>
                </c:pt>
                <c:pt idx="141">
                  <c:v>261</c:v>
                </c:pt>
                <c:pt idx="142">
                  <c:v>262</c:v>
                </c:pt>
                <c:pt idx="143">
                  <c:v>263</c:v>
                </c:pt>
                <c:pt idx="144">
                  <c:v>264</c:v>
                </c:pt>
                <c:pt idx="145">
                  <c:v>265</c:v>
                </c:pt>
                <c:pt idx="146">
                  <c:v>266</c:v>
                </c:pt>
                <c:pt idx="147">
                  <c:v>267</c:v>
                </c:pt>
                <c:pt idx="148">
                  <c:v>268</c:v>
                </c:pt>
                <c:pt idx="149">
                  <c:v>269</c:v>
                </c:pt>
                <c:pt idx="150">
                  <c:v>270</c:v>
                </c:pt>
                <c:pt idx="151">
                  <c:v>271</c:v>
                </c:pt>
                <c:pt idx="152">
                  <c:v>272</c:v>
                </c:pt>
                <c:pt idx="153">
                  <c:v>273</c:v>
                </c:pt>
                <c:pt idx="154">
                  <c:v>274</c:v>
                </c:pt>
                <c:pt idx="155">
                  <c:v>275</c:v>
                </c:pt>
                <c:pt idx="156">
                  <c:v>276</c:v>
                </c:pt>
                <c:pt idx="157">
                  <c:v>277</c:v>
                </c:pt>
                <c:pt idx="158">
                  <c:v>278</c:v>
                </c:pt>
                <c:pt idx="159">
                  <c:v>279</c:v>
                </c:pt>
                <c:pt idx="160">
                  <c:v>280</c:v>
                </c:pt>
                <c:pt idx="161">
                  <c:v>281</c:v>
                </c:pt>
                <c:pt idx="162">
                  <c:v>282</c:v>
                </c:pt>
                <c:pt idx="163">
                  <c:v>283</c:v>
                </c:pt>
                <c:pt idx="164">
                  <c:v>284</c:v>
                </c:pt>
                <c:pt idx="165">
                  <c:v>285</c:v>
                </c:pt>
                <c:pt idx="166">
                  <c:v>286</c:v>
                </c:pt>
                <c:pt idx="167">
                  <c:v>287</c:v>
                </c:pt>
                <c:pt idx="168">
                  <c:v>288</c:v>
                </c:pt>
                <c:pt idx="169">
                  <c:v>289</c:v>
                </c:pt>
                <c:pt idx="170">
                  <c:v>290</c:v>
                </c:pt>
                <c:pt idx="171">
                  <c:v>291</c:v>
                </c:pt>
                <c:pt idx="172">
                  <c:v>292</c:v>
                </c:pt>
                <c:pt idx="173">
                  <c:v>293</c:v>
                </c:pt>
                <c:pt idx="174">
                  <c:v>294</c:v>
                </c:pt>
                <c:pt idx="175">
                  <c:v>295</c:v>
                </c:pt>
                <c:pt idx="176">
                  <c:v>296</c:v>
                </c:pt>
                <c:pt idx="177">
                  <c:v>297</c:v>
                </c:pt>
                <c:pt idx="178">
                  <c:v>298</c:v>
                </c:pt>
                <c:pt idx="179">
                  <c:v>299</c:v>
                </c:pt>
                <c:pt idx="180">
                  <c:v>300</c:v>
                </c:pt>
                <c:pt idx="181">
                  <c:v>301</c:v>
                </c:pt>
                <c:pt idx="182">
                  <c:v>302</c:v>
                </c:pt>
                <c:pt idx="183">
                  <c:v>303</c:v>
                </c:pt>
                <c:pt idx="184">
                  <c:v>304</c:v>
                </c:pt>
                <c:pt idx="185">
                  <c:v>305</c:v>
                </c:pt>
                <c:pt idx="186">
                  <c:v>306</c:v>
                </c:pt>
                <c:pt idx="187">
                  <c:v>307</c:v>
                </c:pt>
                <c:pt idx="188">
                  <c:v>308</c:v>
                </c:pt>
                <c:pt idx="189">
                  <c:v>309</c:v>
                </c:pt>
                <c:pt idx="190">
                  <c:v>310</c:v>
                </c:pt>
                <c:pt idx="191">
                  <c:v>311</c:v>
                </c:pt>
                <c:pt idx="192">
                  <c:v>312</c:v>
                </c:pt>
                <c:pt idx="193">
                  <c:v>313</c:v>
                </c:pt>
                <c:pt idx="194">
                  <c:v>314</c:v>
                </c:pt>
                <c:pt idx="195">
                  <c:v>315</c:v>
                </c:pt>
                <c:pt idx="196">
                  <c:v>316</c:v>
                </c:pt>
                <c:pt idx="197">
                  <c:v>317</c:v>
                </c:pt>
                <c:pt idx="198">
                  <c:v>318</c:v>
                </c:pt>
                <c:pt idx="199">
                  <c:v>319</c:v>
                </c:pt>
                <c:pt idx="200">
                  <c:v>320</c:v>
                </c:pt>
                <c:pt idx="201">
                  <c:v>321</c:v>
                </c:pt>
                <c:pt idx="202">
                  <c:v>322</c:v>
                </c:pt>
                <c:pt idx="203">
                  <c:v>323</c:v>
                </c:pt>
                <c:pt idx="204">
                  <c:v>324</c:v>
                </c:pt>
                <c:pt idx="205">
                  <c:v>325</c:v>
                </c:pt>
                <c:pt idx="206">
                  <c:v>326</c:v>
                </c:pt>
                <c:pt idx="207">
                  <c:v>327</c:v>
                </c:pt>
                <c:pt idx="208">
                  <c:v>328</c:v>
                </c:pt>
                <c:pt idx="209">
                  <c:v>329</c:v>
                </c:pt>
                <c:pt idx="210">
                  <c:v>330</c:v>
                </c:pt>
                <c:pt idx="211">
                  <c:v>331</c:v>
                </c:pt>
                <c:pt idx="212">
                  <c:v>332</c:v>
                </c:pt>
                <c:pt idx="213">
                  <c:v>333</c:v>
                </c:pt>
                <c:pt idx="214">
                  <c:v>334</c:v>
                </c:pt>
                <c:pt idx="215">
                  <c:v>335</c:v>
                </c:pt>
                <c:pt idx="216">
                  <c:v>336</c:v>
                </c:pt>
                <c:pt idx="217">
                  <c:v>337</c:v>
                </c:pt>
                <c:pt idx="218">
                  <c:v>338</c:v>
                </c:pt>
                <c:pt idx="219">
                  <c:v>339</c:v>
                </c:pt>
                <c:pt idx="220">
                  <c:v>340</c:v>
                </c:pt>
                <c:pt idx="221">
                  <c:v>341</c:v>
                </c:pt>
                <c:pt idx="222">
                  <c:v>342</c:v>
                </c:pt>
                <c:pt idx="223">
                  <c:v>343</c:v>
                </c:pt>
                <c:pt idx="224">
                  <c:v>344</c:v>
                </c:pt>
                <c:pt idx="225">
                  <c:v>345</c:v>
                </c:pt>
                <c:pt idx="226">
                  <c:v>346</c:v>
                </c:pt>
                <c:pt idx="227">
                  <c:v>347</c:v>
                </c:pt>
                <c:pt idx="228">
                  <c:v>348</c:v>
                </c:pt>
                <c:pt idx="229">
                  <c:v>349</c:v>
                </c:pt>
                <c:pt idx="230">
                  <c:v>350</c:v>
                </c:pt>
                <c:pt idx="231">
                  <c:v>351</c:v>
                </c:pt>
                <c:pt idx="232">
                  <c:v>352</c:v>
                </c:pt>
                <c:pt idx="233">
                  <c:v>353</c:v>
                </c:pt>
                <c:pt idx="234">
                  <c:v>354</c:v>
                </c:pt>
                <c:pt idx="235">
                  <c:v>355</c:v>
                </c:pt>
                <c:pt idx="236">
                  <c:v>356</c:v>
                </c:pt>
                <c:pt idx="237">
                  <c:v>357</c:v>
                </c:pt>
                <c:pt idx="238">
                  <c:v>358</c:v>
                </c:pt>
                <c:pt idx="239">
                  <c:v>359</c:v>
                </c:pt>
                <c:pt idx="240">
                  <c:v>360</c:v>
                </c:pt>
                <c:pt idx="241">
                  <c:v>361</c:v>
                </c:pt>
                <c:pt idx="242">
                  <c:v>362</c:v>
                </c:pt>
                <c:pt idx="243">
                  <c:v>363</c:v>
                </c:pt>
                <c:pt idx="244">
                  <c:v>364</c:v>
                </c:pt>
                <c:pt idx="245">
                  <c:v>365</c:v>
                </c:pt>
                <c:pt idx="246">
                  <c:v>366</c:v>
                </c:pt>
                <c:pt idx="247">
                  <c:v>367</c:v>
                </c:pt>
                <c:pt idx="248">
                  <c:v>368</c:v>
                </c:pt>
                <c:pt idx="249">
                  <c:v>369</c:v>
                </c:pt>
                <c:pt idx="250">
                  <c:v>370</c:v>
                </c:pt>
                <c:pt idx="251">
                  <c:v>371</c:v>
                </c:pt>
                <c:pt idx="252">
                  <c:v>372</c:v>
                </c:pt>
                <c:pt idx="253">
                  <c:v>373</c:v>
                </c:pt>
                <c:pt idx="254">
                  <c:v>374</c:v>
                </c:pt>
                <c:pt idx="255">
                  <c:v>375</c:v>
                </c:pt>
                <c:pt idx="256">
                  <c:v>376</c:v>
                </c:pt>
                <c:pt idx="257">
                  <c:v>377</c:v>
                </c:pt>
                <c:pt idx="258">
                  <c:v>378</c:v>
                </c:pt>
                <c:pt idx="259">
                  <c:v>379</c:v>
                </c:pt>
                <c:pt idx="260">
                  <c:v>380</c:v>
                </c:pt>
                <c:pt idx="261">
                  <c:v>381</c:v>
                </c:pt>
                <c:pt idx="262">
                  <c:v>382</c:v>
                </c:pt>
                <c:pt idx="263">
                  <c:v>383</c:v>
                </c:pt>
                <c:pt idx="264">
                  <c:v>384</c:v>
                </c:pt>
                <c:pt idx="265">
                  <c:v>385</c:v>
                </c:pt>
                <c:pt idx="266">
                  <c:v>386</c:v>
                </c:pt>
                <c:pt idx="267">
                  <c:v>387</c:v>
                </c:pt>
                <c:pt idx="268">
                  <c:v>388</c:v>
                </c:pt>
                <c:pt idx="269">
                  <c:v>389</c:v>
                </c:pt>
                <c:pt idx="270">
                  <c:v>390</c:v>
                </c:pt>
                <c:pt idx="271">
                  <c:v>391</c:v>
                </c:pt>
                <c:pt idx="272">
                  <c:v>392</c:v>
                </c:pt>
                <c:pt idx="273">
                  <c:v>393</c:v>
                </c:pt>
                <c:pt idx="274">
                  <c:v>394</c:v>
                </c:pt>
                <c:pt idx="275">
                  <c:v>395</c:v>
                </c:pt>
                <c:pt idx="276">
                  <c:v>396</c:v>
                </c:pt>
                <c:pt idx="277">
                  <c:v>397</c:v>
                </c:pt>
                <c:pt idx="278">
                  <c:v>398</c:v>
                </c:pt>
                <c:pt idx="279">
                  <c:v>399</c:v>
                </c:pt>
                <c:pt idx="280">
                  <c:v>400</c:v>
                </c:pt>
                <c:pt idx="281">
                  <c:v>401</c:v>
                </c:pt>
                <c:pt idx="282">
                  <c:v>402</c:v>
                </c:pt>
                <c:pt idx="283">
                  <c:v>403</c:v>
                </c:pt>
                <c:pt idx="284">
                  <c:v>404</c:v>
                </c:pt>
                <c:pt idx="285">
                  <c:v>405</c:v>
                </c:pt>
                <c:pt idx="286">
                  <c:v>406</c:v>
                </c:pt>
                <c:pt idx="287">
                  <c:v>407</c:v>
                </c:pt>
                <c:pt idx="288">
                  <c:v>408</c:v>
                </c:pt>
                <c:pt idx="289">
                  <c:v>409</c:v>
                </c:pt>
                <c:pt idx="290">
                  <c:v>410</c:v>
                </c:pt>
                <c:pt idx="291">
                  <c:v>411</c:v>
                </c:pt>
                <c:pt idx="292">
                  <c:v>412</c:v>
                </c:pt>
                <c:pt idx="293">
                  <c:v>413</c:v>
                </c:pt>
                <c:pt idx="294">
                  <c:v>414</c:v>
                </c:pt>
                <c:pt idx="295">
                  <c:v>415</c:v>
                </c:pt>
                <c:pt idx="296">
                  <c:v>416</c:v>
                </c:pt>
                <c:pt idx="297">
                  <c:v>417</c:v>
                </c:pt>
                <c:pt idx="298">
                  <c:v>418</c:v>
                </c:pt>
                <c:pt idx="299">
                  <c:v>419</c:v>
                </c:pt>
                <c:pt idx="300">
                  <c:v>420</c:v>
                </c:pt>
              </c:numCache>
            </c:numRef>
          </c:xVal>
          <c:yVal>
            <c:numRef>
              <c:f>'6'!$W$44:$W$344</c:f>
              <c:numCache>
                <c:formatCode>0</c:formatCode>
                <c:ptCount val="301"/>
                <c:pt idx="0">
                  <c:v>220</c:v>
                </c:pt>
                <c:pt idx="1">
                  <c:v>221.99333333333334</c:v>
                </c:pt>
                <c:pt idx="2">
                  <c:v>223.97333333333336</c:v>
                </c:pt>
                <c:pt idx="3">
                  <c:v>225.93999999999994</c:v>
                </c:pt>
                <c:pt idx="4">
                  <c:v>227.89333333333332</c:v>
                </c:pt>
                <c:pt idx="5">
                  <c:v>229.83333333333337</c:v>
                </c:pt>
                <c:pt idx="6">
                  <c:v>231.7600000000001</c:v>
                </c:pt>
                <c:pt idx="7">
                  <c:v>233.67333333333329</c:v>
                </c:pt>
                <c:pt idx="8">
                  <c:v>235.57333333333338</c:v>
                </c:pt>
                <c:pt idx="9">
                  <c:v>237.46000000000004</c:v>
                </c:pt>
                <c:pt idx="10">
                  <c:v>239.33333333333337</c:v>
                </c:pt>
                <c:pt idx="11">
                  <c:v>241.1933333333335</c:v>
                </c:pt>
                <c:pt idx="12">
                  <c:v>243.03999999999996</c:v>
                </c:pt>
                <c:pt idx="13">
                  <c:v>244.87333333333333</c:v>
                </c:pt>
                <c:pt idx="14">
                  <c:v>246.6933333333335</c:v>
                </c:pt>
                <c:pt idx="15">
                  <c:v>248.5</c:v>
                </c:pt>
                <c:pt idx="16">
                  <c:v>250.29333333333318</c:v>
                </c:pt>
                <c:pt idx="17">
                  <c:v>252.07333333333338</c:v>
                </c:pt>
                <c:pt idx="18">
                  <c:v>253.84000000000003</c:v>
                </c:pt>
                <c:pt idx="19">
                  <c:v>255.59333333333325</c:v>
                </c:pt>
                <c:pt idx="20">
                  <c:v>257.33333333333314</c:v>
                </c:pt>
                <c:pt idx="21">
                  <c:v>259.05999999999995</c:v>
                </c:pt>
                <c:pt idx="22">
                  <c:v>260.77333333333343</c:v>
                </c:pt>
                <c:pt idx="23">
                  <c:v>262.47333333333336</c:v>
                </c:pt>
                <c:pt idx="24">
                  <c:v>264.15999999999997</c:v>
                </c:pt>
                <c:pt idx="25">
                  <c:v>265.83333333333314</c:v>
                </c:pt>
                <c:pt idx="26">
                  <c:v>267.49333333333334</c:v>
                </c:pt>
                <c:pt idx="27">
                  <c:v>269.14000000000021</c:v>
                </c:pt>
                <c:pt idx="28">
                  <c:v>270.77333333333343</c:v>
                </c:pt>
                <c:pt idx="29">
                  <c:v>272.39333333333332</c:v>
                </c:pt>
                <c:pt idx="30">
                  <c:v>274</c:v>
                </c:pt>
                <c:pt idx="31">
                  <c:v>275.59333333333336</c:v>
                </c:pt>
                <c:pt idx="32">
                  <c:v>277.17333333333329</c:v>
                </c:pt>
                <c:pt idx="33">
                  <c:v>278.7399999999999</c:v>
                </c:pt>
                <c:pt idx="34">
                  <c:v>280.29333333333318</c:v>
                </c:pt>
                <c:pt idx="35">
                  <c:v>281.83333333333314</c:v>
                </c:pt>
                <c:pt idx="36">
                  <c:v>283.36</c:v>
                </c:pt>
                <c:pt idx="37">
                  <c:v>284.87333333333333</c:v>
                </c:pt>
                <c:pt idx="38">
                  <c:v>286.37333333333333</c:v>
                </c:pt>
                <c:pt idx="39">
                  <c:v>287.86</c:v>
                </c:pt>
                <c:pt idx="40">
                  <c:v>289.33333333333314</c:v>
                </c:pt>
                <c:pt idx="41">
                  <c:v>290.79333333333318</c:v>
                </c:pt>
                <c:pt idx="42">
                  <c:v>292.2399999999999</c:v>
                </c:pt>
                <c:pt idx="43">
                  <c:v>293.67333333333329</c:v>
                </c:pt>
                <c:pt idx="44">
                  <c:v>295.09333333333325</c:v>
                </c:pt>
                <c:pt idx="45">
                  <c:v>296.5</c:v>
                </c:pt>
                <c:pt idx="46">
                  <c:v>297.89333333333332</c:v>
                </c:pt>
                <c:pt idx="47">
                  <c:v>299.27333333333343</c:v>
                </c:pt>
                <c:pt idx="48">
                  <c:v>300.64</c:v>
                </c:pt>
                <c:pt idx="49">
                  <c:v>301.99333333333334</c:v>
                </c:pt>
                <c:pt idx="50">
                  <c:v>303.33333333333314</c:v>
                </c:pt>
                <c:pt idx="51">
                  <c:v>304.65999999999997</c:v>
                </c:pt>
                <c:pt idx="52">
                  <c:v>305.97333333333336</c:v>
                </c:pt>
                <c:pt idx="53">
                  <c:v>307.27333333333343</c:v>
                </c:pt>
                <c:pt idx="54">
                  <c:v>308.56000000000006</c:v>
                </c:pt>
                <c:pt idx="55">
                  <c:v>309.83333333333314</c:v>
                </c:pt>
                <c:pt idx="56">
                  <c:v>311.09333333333336</c:v>
                </c:pt>
                <c:pt idx="57">
                  <c:v>312.34000000000003</c:v>
                </c:pt>
                <c:pt idx="58">
                  <c:v>313.57333333333338</c:v>
                </c:pt>
                <c:pt idx="59">
                  <c:v>314.79333333333318</c:v>
                </c:pt>
                <c:pt idx="60">
                  <c:v>316</c:v>
                </c:pt>
                <c:pt idx="61">
                  <c:v>317.19333333333327</c:v>
                </c:pt>
                <c:pt idx="62">
                  <c:v>318.37333333333333</c:v>
                </c:pt>
                <c:pt idx="63">
                  <c:v>319.53999999999996</c:v>
                </c:pt>
                <c:pt idx="64">
                  <c:v>320.6933333333335</c:v>
                </c:pt>
                <c:pt idx="65">
                  <c:v>321.83333333333314</c:v>
                </c:pt>
                <c:pt idx="66">
                  <c:v>322.96000000000004</c:v>
                </c:pt>
                <c:pt idx="67">
                  <c:v>324.07333333333338</c:v>
                </c:pt>
                <c:pt idx="68">
                  <c:v>325.17333333333329</c:v>
                </c:pt>
                <c:pt idx="69">
                  <c:v>326.2600000000001</c:v>
                </c:pt>
                <c:pt idx="70">
                  <c:v>327.33333333333314</c:v>
                </c:pt>
                <c:pt idx="71">
                  <c:v>328.39333333333332</c:v>
                </c:pt>
                <c:pt idx="72">
                  <c:v>329.43999999999994</c:v>
                </c:pt>
                <c:pt idx="73">
                  <c:v>330.47333333333336</c:v>
                </c:pt>
                <c:pt idx="74">
                  <c:v>331.49333333333334</c:v>
                </c:pt>
                <c:pt idx="75">
                  <c:v>332.5</c:v>
                </c:pt>
                <c:pt idx="76">
                  <c:v>333.49333333333334</c:v>
                </c:pt>
                <c:pt idx="77">
                  <c:v>334.47333333333336</c:v>
                </c:pt>
                <c:pt idx="78">
                  <c:v>335.44000000000005</c:v>
                </c:pt>
                <c:pt idx="79">
                  <c:v>336.39333333333332</c:v>
                </c:pt>
                <c:pt idx="80">
                  <c:v>337.33333333333314</c:v>
                </c:pt>
                <c:pt idx="81">
                  <c:v>338.2600000000001</c:v>
                </c:pt>
                <c:pt idx="82">
                  <c:v>339.17333333333329</c:v>
                </c:pt>
                <c:pt idx="83">
                  <c:v>340.07333333333338</c:v>
                </c:pt>
                <c:pt idx="84">
                  <c:v>340.96000000000004</c:v>
                </c:pt>
                <c:pt idx="85">
                  <c:v>341.83333333333314</c:v>
                </c:pt>
                <c:pt idx="86">
                  <c:v>342.69333333333327</c:v>
                </c:pt>
                <c:pt idx="87">
                  <c:v>343.53999999999996</c:v>
                </c:pt>
                <c:pt idx="88">
                  <c:v>344.37333333333345</c:v>
                </c:pt>
                <c:pt idx="89">
                  <c:v>345.1933333333335</c:v>
                </c:pt>
                <c:pt idx="90">
                  <c:v>346</c:v>
                </c:pt>
                <c:pt idx="91">
                  <c:v>346.79333333333318</c:v>
                </c:pt>
                <c:pt idx="92">
                  <c:v>347.57333333333338</c:v>
                </c:pt>
                <c:pt idx="93">
                  <c:v>348.34000000000003</c:v>
                </c:pt>
                <c:pt idx="94">
                  <c:v>349.09333333333325</c:v>
                </c:pt>
                <c:pt idx="95">
                  <c:v>349.83333333333314</c:v>
                </c:pt>
                <c:pt idx="96">
                  <c:v>350.55999999999995</c:v>
                </c:pt>
                <c:pt idx="97">
                  <c:v>351.27333333333343</c:v>
                </c:pt>
                <c:pt idx="98">
                  <c:v>351.97333333333336</c:v>
                </c:pt>
                <c:pt idx="99">
                  <c:v>352.65999999999985</c:v>
                </c:pt>
                <c:pt idx="100">
                  <c:v>353.33333333333326</c:v>
                </c:pt>
                <c:pt idx="101">
                  <c:v>353.99333333333334</c:v>
                </c:pt>
                <c:pt idx="102">
                  <c:v>354.6400000000001</c:v>
                </c:pt>
                <c:pt idx="103">
                  <c:v>355.27333333333331</c:v>
                </c:pt>
                <c:pt idx="104">
                  <c:v>355.8933333333332</c:v>
                </c:pt>
                <c:pt idx="105">
                  <c:v>356.5</c:v>
                </c:pt>
                <c:pt idx="106">
                  <c:v>357.09333333333348</c:v>
                </c:pt>
                <c:pt idx="107">
                  <c:v>357.6733333333334</c:v>
                </c:pt>
                <c:pt idx="108">
                  <c:v>358.24</c:v>
                </c:pt>
                <c:pt idx="109">
                  <c:v>358.79333333333329</c:v>
                </c:pt>
                <c:pt idx="110">
                  <c:v>359.33333333333326</c:v>
                </c:pt>
                <c:pt idx="111">
                  <c:v>359.86000000000013</c:v>
                </c:pt>
                <c:pt idx="112">
                  <c:v>360.37333333333322</c:v>
                </c:pt>
                <c:pt idx="113">
                  <c:v>360.87333333333322</c:v>
                </c:pt>
                <c:pt idx="114">
                  <c:v>361.36000000000035</c:v>
                </c:pt>
                <c:pt idx="115">
                  <c:v>361.83333333333326</c:v>
                </c:pt>
                <c:pt idx="116">
                  <c:v>362.29333333333329</c:v>
                </c:pt>
                <c:pt idx="117">
                  <c:v>362.74</c:v>
                </c:pt>
                <c:pt idx="118">
                  <c:v>363.1733333333334</c:v>
                </c:pt>
                <c:pt idx="119">
                  <c:v>363.59333333333325</c:v>
                </c:pt>
                <c:pt idx="120">
                  <c:v>364</c:v>
                </c:pt>
                <c:pt idx="121">
                  <c:v>364.3933333333332</c:v>
                </c:pt>
                <c:pt idx="122">
                  <c:v>364.77333333333331</c:v>
                </c:pt>
                <c:pt idx="123">
                  <c:v>365.1400000000001</c:v>
                </c:pt>
                <c:pt idx="124">
                  <c:v>365.49333333333357</c:v>
                </c:pt>
                <c:pt idx="125">
                  <c:v>365.83333333333326</c:v>
                </c:pt>
                <c:pt idx="126">
                  <c:v>366.16000000000008</c:v>
                </c:pt>
                <c:pt idx="127">
                  <c:v>366.47333333333336</c:v>
                </c:pt>
                <c:pt idx="128">
                  <c:v>366.77333333333331</c:v>
                </c:pt>
                <c:pt idx="129">
                  <c:v>367.05999999999972</c:v>
                </c:pt>
                <c:pt idx="130">
                  <c:v>367.33333333333326</c:v>
                </c:pt>
                <c:pt idx="131">
                  <c:v>367.59333333333348</c:v>
                </c:pt>
                <c:pt idx="132">
                  <c:v>367.83999999999992</c:v>
                </c:pt>
                <c:pt idx="133">
                  <c:v>368.07333333333349</c:v>
                </c:pt>
                <c:pt idx="134">
                  <c:v>368.29333333333329</c:v>
                </c:pt>
                <c:pt idx="135">
                  <c:v>368.5</c:v>
                </c:pt>
                <c:pt idx="136">
                  <c:v>368.69333333333338</c:v>
                </c:pt>
                <c:pt idx="137">
                  <c:v>368.87333333333322</c:v>
                </c:pt>
                <c:pt idx="138">
                  <c:v>369.03999999999996</c:v>
                </c:pt>
                <c:pt idx="139">
                  <c:v>369.19333333333338</c:v>
                </c:pt>
                <c:pt idx="140">
                  <c:v>369.33333333333326</c:v>
                </c:pt>
                <c:pt idx="141">
                  <c:v>369.46000000000004</c:v>
                </c:pt>
                <c:pt idx="142">
                  <c:v>369.57333333333349</c:v>
                </c:pt>
                <c:pt idx="143">
                  <c:v>369.6733333333334</c:v>
                </c:pt>
                <c:pt idx="144">
                  <c:v>369.76</c:v>
                </c:pt>
                <c:pt idx="145">
                  <c:v>369.83333333333326</c:v>
                </c:pt>
                <c:pt idx="146">
                  <c:v>369.8933333333332</c:v>
                </c:pt>
                <c:pt idx="147">
                  <c:v>369.94000000000005</c:v>
                </c:pt>
                <c:pt idx="148">
                  <c:v>369.97333333333336</c:v>
                </c:pt>
                <c:pt idx="149">
                  <c:v>369.99333333333357</c:v>
                </c:pt>
                <c:pt idx="150">
                  <c:v>370</c:v>
                </c:pt>
                <c:pt idx="151">
                  <c:v>369.99333333333357</c:v>
                </c:pt>
                <c:pt idx="152">
                  <c:v>369.97333333333336</c:v>
                </c:pt>
                <c:pt idx="153">
                  <c:v>369.94000000000028</c:v>
                </c:pt>
                <c:pt idx="154">
                  <c:v>369.8933333333332</c:v>
                </c:pt>
                <c:pt idx="155">
                  <c:v>369.83333333333326</c:v>
                </c:pt>
                <c:pt idx="156">
                  <c:v>369.76</c:v>
                </c:pt>
                <c:pt idx="157">
                  <c:v>369.6733333333334</c:v>
                </c:pt>
                <c:pt idx="158">
                  <c:v>369.57333333333349</c:v>
                </c:pt>
                <c:pt idx="159">
                  <c:v>369.46000000000004</c:v>
                </c:pt>
                <c:pt idx="160">
                  <c:v>369.33333333333326</c:v>
                </c:pt>
                <c:pt idx="161">
                  <c:v>369.19333333333338</c:v>
                </c:pt>
                <c:pt idx="162">
                  <c:v>369.03999999999996</c:v>
                </c:pt>
                <c:pt idx="163">
                  <c:v>368.87333333333322</c:v>
                </c:pt>
                <c:pt idx="164">
                  <c:v>368.69333333333338</c:v>
                </c:pt>
                <c:pt idx="165">
                  <c:v>368.5</c:v>
                </c:pt>
                <c:pt idx="166">
                  <c:v>368.29333333333329</c:v>
                </c:pt>
                <c:pt idx="167">
                  <c:v>368.07333333333349</c:v>
                </c:pt>
                <c:pt idx="168">
                  <c:v>367.83999999999992</c:v>
                </c:pt>
                <c:pt idx="169">
                  <c:v>367.59333333333348</c:v>
                </c:pt>
                <c:pt idx="170">
                  <c:v>367.33333333333348</c:v>
                </c:pt>
                <c:pt idx="171">
                  <c:v>367.05999999999972</c:v>
                </c:pt>
                <c:pt idx="172">
                  <c:v>366.77333333333331</c:v>
                </c:pt>
                <c:pt idx="173">
                  <c:v>366.47333333333336</c:v>
                </c:pt>
                <c:pt idx="174">
                  <c:v>366.16000000000008</c:v>
                </c:pt>
                <c:pt idx="175">
                  <c:v>365.83333333333348</c:v>
                </c:pt>
                <c:pt idx="176">
                  <c:v>365.49333333333357</c:v>
                </c:pt>
                <c:pt idx="177">
                  <c:v>365.13999999999987</c:v>
                </c:pt>
                <c:pt idx="178">
                  <c:v>364.77333333333331</c:v>
                </c:pt>
                <c:pt idx="179">
                  <c:v>364.3933333333332</c:v>
                </c:pt>
                <c:pt idx="180">
                  <c:v>364</c:v>
                </c:pt>
                <c:pt idx="181">
                  <c:v>363.59333333333325</c:v>
                </c:pt>
                <c:pt idx="182">
                  <c:v>363.1733333333334</c:v>
                </c:pt>
                <c:pt idx="183">
                  <c:v>362.74</c:v>
                </c:pt>
                <c:pt idx="184">
                  <c:v>362.29333333333329</c:v>
                </c:pt>
                <c:pt idx="185">
                  <c:v>361.83333333333326</c:v>
                </c:pt>
                <c:pt idx="186">
                  <c:v>361.36000000000013</c:v>
                </c:pt>
                <c:pt idx="187">
                  <c:v>360.87333333333322</c:v>
                </c:pt>
                <c:pt idx="188">
                  <c:v>360.37333333333322</c:v>
                </c:pt>
                <c:pt idx="189">
                  <c:v>359.8599999999999</c:v>
                </c:pt>
                <c:pt idx="190">
                  <c:v>359.33333333333326</c:v>
                </c:pt>
                <c:pt idx="191">
                  <c:v>358.79333333333329</c:v>
                </c:pt>
                <c:pt idx="192">
                  <c:v>358.24</c:v>
                </c:pt>
                <c:pt idx="193">
                  <c:v>357.6733333333334</c:v>
                </c:pt>
                <c:pt idx="194">
                  <c:v>357.09333333333325</c:v>
                </c:pt>
                <c:pt idx="195">
                  <c:v>356.5</c:v>
                </c:pt>
                <c:pt idx="196">
                  <c:v>355.89333333333343</c:v>
                </c:pt>
                <c:pt idx="197">
                  <c:v>355.27333333333331</c:v>
                </c:pt>
                <c:pt idx="198">
                  <c:v>354.63999999999987</c:v>
                </c:pt>
                <c:pt idx="199">
                  <c:v>353.99333333333357</c:v>
                </c:pt>
                <c:pt idx="200">
                  <c:v>353.33333333333326</c:v>
                </c:pt>
                <c:pt idx="201">
                  <c:v>352.66000000000008</c:v>
                </c:pt>
                <c:pt idx="202">
                  <c:v>351.97333333333336</c:v>
                </c:pt>
                <c:pt idx="203">
                  <c:v>351.27333333333331</c:v>
                </c:pt>
                <c:pt idx="204">
                  <c:v>350.55999999999995</c:v>
                </c:pt>
                <c:pt idx="205">
                  <c:v>349.83333333333326</c:v>
                </c:pt>
                <c:pt idx="206">
                  <c:v>349.09333333333325</c:v>
                </c:pt>
                <c:pt idx="207">
                  <c:v>348.33999999999992</c:v>
                </c:pt>
                <c:pt idx="208">
                  <c:v>347.57333333333349</c:v>
                </c:pt>
                <c:pt idx="209">
                  <c:v>346.79333333333329</c:v>
                </c:pt>
                <c:pt idx="210">
                  <c:v>346</c:v>
                </c:pt>
                <c:pt idx="211">
                  <c:v>345.19333333333338</c:v>
                </c:pt>
                <c:pt idx="212">
                  <c:v>344.37333333333322</c:v>
                </c:pt>
                <c:pt idx="213">
                  <c:v>343.53999999999996</c:v>
                </c:pt>
                <c:pt idx="214">
                  <c:v>342.69333333333338</c:v>
                </c:pt>
                <c:pt idx="215">
                  <c:v>341.83333333333326</c:v>
                </c:pt>
                <c:pt idx="216">
                  <c:v>340.96000000000004</c:v>
                </c:pt>
                <c:pt idx="217">
                  <c:v>340.07333333333349</c:v>
                </c:pt>
                <c:pt idx="218">
                  <c:v>339.1733333333334</c:v>
                </c:pt>
                <c:pt idx="219">
                  <c:v>338.26</c:v>
                </c:pt>
                <c:pt idx="220">
                  <c:v>337.33333333333326</c:v>
                </c:pt>
                <c:pt idx="221">
                  <c:v>336.39333333333343</c:v>
                </c:pt>
                <c:pt idx="222">
                  <c:v>335.44000000000028</c:v>
                </c:pt>
                <c:pt idx="223">
                  <c:v>334.47333333333336</c:v>
                </c:pt>
                <c:pt idx="224">
                  <c:v>333.49333333333357</c:v>
                </c:pt>
                <c:pt idx="225">
                  <c:v>332.5</c:v>
                </c:pt>
                <c:pt idx="226">
                  <c:v>331.49333333333357</c:v>
                </c:pt>
                <c:pt idx="227">
                  <c:v>330.47333333333336</c:v>
                </c:pt>
                <c:pt idx="228">
                  <c:v>329.44000000000028</c:v>
                </c:pt>
                <c:pt idx="229">
                  <c:v>328.39333333333343</c:v>
                </c:pt>
                <c:pt idx="230">
                  <c:v>327.33333333333326</c:v>
                </c:pt>
                <c:pt idx="231">
                  <c:v>326.26</c:v>
                </c:pt>
                <c:pt idx="232">
                  <c:v>325.17333333333318</c:v>
                </c:pt>
                <c:pt idx="233">
                  <c:v>324.07333333333349</c:v>
                </c:pt>
                <c:pt idx="234">
                  <c:v>322.96000000000004</c:v>
                </c:pt>
                <c:pt idx="235">
                  <c:v>321.83333333333326</c:v>
                </c:pt>
                <c:pt idx="236">
                  <c:v>320.69333333333338</c:v>
                </c:pt>
                <c:pt idx="237">
                  <c:v>319.53999999999996</c:v>
                </c:pt>
                <c:pt idx="238">
                  <c:v>318.37333333333322</c:v>
                </c:pt>
                <c:pt idx="239">
                  <c:v>317.19333333333338</c:v>
                </c:pt>
                <c:pt idx="240">
                  <c:v>316</c:v>
                </c:pt>
                <c:pt idx="241">
                  <c:v>314.79333333333329</c:v>
                </c:pt>
                <c:pt idx="242">
                  <c:v>313.57333333333349</c:v>
                </c:pt>
                <c:pt idx="243">
                  <c:v>312.34000000000015</c:v>
                </c:pt>
                <c:pt idx="244">
                  <c:v>311.09333333333325</c:v>
                </c:pt>
                <c:pt idx="245">
                  <c:v>309.83333333333326</c:v>
                </c:pt>
                <c:pt idx="246">
                  <c:v>308.55999999999972</c:v>
                </c:pt>
                <c:pt idx="247">
                  <c:v>307.27333333333331</c:v>
                </c:pt>
                <c:pt idx="248">
                  <c:v>305.97333333333336</c:v>
                </c:pt>
                <c:pt idx="249">
                  <c:v>304.66000000000008</c:v>
                </c:pt>
                <c:pt idx="250">
                  <c:v>303.33333333333326</c:v>
                </c:pt>
                <c:pt idx="251">
                  <c:v>301.99333333333357</c:v>
                </c:pt>
                <c:pt idx="252">
                  <c:v>300.63999999999965</c:v>
                </c:pt>
                <c:pt idx="253">
                  <c:v>299.27333333333331</c:v>
                </c:pt>
                <c:pt idx="254">
                  <c:v>297.89333333333343</c:v>
                </c:pt>
                <c:pt idx="255">
                  <c:v>296.5</c:v>
                </c:pt>
                <c:pt idx="256">
                  <c:v>295.09333333333325</c:v>
                </c:pt>
                <c:pt idx="257">
                  <c:v>293.6733333333334</c:v>
                </c:pt>
                <c:pt idx="258">
                  <c:v>292.24</c:v>
                </c:pt>
                <c:pt idx="259">
                  <c:v>290.79333333333329</c:v>
                </c:pt>
                <c:pt idx="260">
                  <c:v>289.33333333333326</c:v>
                </c:pt>
                <c:pt idx="261">
                  <c:v>287.86000000000035</c:v>
                </c:pt>
                <c:pt idx="262">
                  <c:v>286.37333333333322</c:v>
                </c:pt>
                <c:pt idx="263">
                  <c:v>284.87333333333322</c:v>
                </c:pt>
                <c:pt idx="264">
                  <c:v>283.3599999999999</c:v>
                </c:pt>
                <c:pt idx="265">
                  <c:v>281.83333333333326</c:v>
                </c:pt>
                <c:pt idx="266">
                  <c:v>280.29333333333329</c:v>
                </c:pt>
                <c:pt idx="267">
                  <c:v>278.74</c:v>
                </c:pt>
                <c:pt idx="268">
                  <c:v>277.1733333333334</c:v>
                </c:pt>
                <c:pt idx="269">
                  <c:v>275.59333333333325</c:v>
                </c:pt>
                <c:pt idx="270">
                  <c:v>274</c:v>
                </c:pt>
                <c:pt idx="271">
                  <c:v>272.39333333333343</c:v>
                </c:pt>
                <c:pt idx="272">
                  <c:v>270.77333333333331</c:v>
                </c:pt>
                <c:pt idx="273">
                  <c:v>269.13999999999965</c:v>
                </c:pt>
                <c:pt idx="274">
                  <c:v>267.49333333333357</c:v>
                </c:pt>
                <c:pt idx="275">
                  <c:v>265.83333333333326</c:v>
                </c:pt>
                <c:pt idx="276">
                  <c:v>264.16000000000008</c:v>
                </c:pt>
                <c:pt idx="277">
                  <c:v>262.47333333333336</c:v>
                </c:pt>
                <c:pt idx="278">
                  <c:v>260.77333333333331</c:v>
                </c:pt>
                <c:pt idx="279">
                  <c:v>259.05999999999972</c:v>
                </c:pt>
                <c:pt idx="280">
                  <c:v>257.33333333333326</c:v>
                </c:pt>
                <c:pt idx="281">
                  <c:v>255.59333333333325</c:v>
                </c:pt>
                <c:pt idx="282">
                  <c:v>253.83999999999992</c:v>
                </c:pt>
                <c:pt idx="283">
                  <c:v>252.07333333333349</c:v>
                </c:pt>
                <c:pt idx="284">
                  <c:v>250.29333333333329</c:v>
                </c:pt>
                <c:pt idx="285">
                  <c:v>248.5</c:v>
                </c:pt>
                <c:pt idx="286">
                  <c:v>246.69333333333338</c:v>
                </c:pt>
                <c:pt idx="287">
                  <c:v>244.87333333333322</c:v>
                </c:pt>
                <c:pt idx="288">
                  <c:v>243.03999999999996</c:v>
                </c:pt>
                <c:pt idx="289">
                  <c:v>241.19333333333338</c:v>
                </c:pt>
                <c:pt idx="290">
                  <c:v>239.33333333333371</c:v>
                </c:pt>
                <c:pt idx="291">
                  <c:v>237.46000000000004</c:v>
                </c:pt>
                <c:pt idx="292">
                  <c:v>235.57333333333349</c:v>
                </c:pt>
                <c:pt idx="293">
                  <c:v>233.6733333333334</c:v>
                </c:pt>
                <c:pt idx="294">
                  <c:v>231.76</c:v>
                </c:pt>
                <c:pt idx="295">
                  <c:v>229.83333333333371</c:v>
                </c:pt>
                <c:pt idx="296">
                  <c:v>227.89333333333343</c:v>
                </c:pt>
                <c:pt idx="297">
                  <c:v>225.94000000000028</c:v>
                </c:pt>
                <c:pt idx="298">
                  <c:v>223.97333333333336</c:v>
                </c:pt>
                <c:pt idx="299">
                  <c:v>221.99333333333357</c:v>
                </c:pt>
                <c:pt idx="300">
                  <c:v>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4-FD4A-A98E-3F3DF820D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075567"/>
        <c:axId val="207072511"/>
      </c:scatterChart>
      <c:valAx>
        <c:axId val="96607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72511"/>
        <c:crosses val="autoZero"/>
        <c:crossBetween val="midCat"/>
      </c:valAx>
      <c:valAx>
        <c:axId val="20707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07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561413306112297E-2"/>
          <c:y val="0.22759068380098529"/>
          <c:w val="0.936661854768154"/>
          <c:h val="0.71050087489063862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'iterations 8'!$N$4:$N$44</c:f>
              <c:numCache>
                <c:formatCode>General</c:formatCode>
                <c:ptCount val="41"/>
                <c:pt idx="0">
                  <c:v>300</c:v>
                </c:pt>
                <c:pt idx="2">
                  <c:v>314</c:v>
                </c:pt>
                <c:pt idx="4">
                  <c:v>328</c:v>
                </c:pt>
                <c:pt idx="6">
                  <c:v>320</c:v>
                </c:pt>
                <c:pt idx="8">
                  <c:v>312</c:v>
                </c:pt>
                <c:pt idx="10">
                  <c:v>304</c:v>
                </c:pt>
                <c:pt idx="12">
                  <c:v>296</c:v>
                </c:pt>
                <c:pt idx="14">
                  <c:v>288</c:v>
                </c:pt>
                <c:pt idx="16">
                  <c:v>280</c:v>
                </c:pt>
                <c:pt idx="18">
                  <c:v>272</c:v>
                </c:pt>
                <c:pt idx="20">
                  <c:v>264</c:v>
                </c:pt>
                <c:pt idx="22">
                  <c:v>256</c:v>
                </c:pt>
                <c:pt idx="24">
                  <c:v>248</c:v>
                </c:pt>
                <c:pt idx="26">
                  <c:v>240</c:v>
                </c:pt>
                <c:pt idx="28">
                  <c:v>232.00000000000003</c:v>
                </c:pt>
                <c:pt idx="30">
                  <c:v>224</c:v>
                </c:pt>
                <c:pt idx="32">
                  <c:v>216</c:v>
                </c:pt>
                <c:pt idx="34">
                  <c:v>190</c:v>
                </c:pt>
                <c:pt idx="36">
                  <c:v>164</c:v>
                </c:pt>
                <c:pt idx="38">
                  <c:v>138</c:v>
                </c:pt>
                <c:pt idx="40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A-8041-BFC8-B839E305B9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79533167"/>
        <c:axId val="378695551"/>
      </c:lineChart>
      <c:catAx>
        <c:axId val="37953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95551"/>
        <c:crosses val="autoZero"/>
        <c:auto val="1"/>
        <c:lblAlgn val="ctr"/>
        <c:lblOffset val="100"/>
        <c:noMultiLvlLbl val="0"/>
      </c:catAx>
      <c:valAx>
        <c:axId val="378695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953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131985729502609E-2"/>
          <c:y val="0.14779692900843608"/>
          <c:w val="0.936661854768154"/>
          <c:h val="0.71050087489063862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'iterations 8 (SH)'!$N$4:$N$55</c:f>
              <c:numCache>
                <c:formatCode>General</c:formatCode>
                <c:ptCount val="52"/>
                <c:pt idx="0">
                  <c:v>508</c:v>
                </c:pt>
                <c:pt idx="2">
                  <c:v>482.00000000000006</c:v>
                </c:pt>
                <c:pt idx="4">
                  <c:v>456.00000000000006</c:v>
                </c:pt>
                <c:pt idx="6">
                  <c:v>430</c:v>
                </c:pt>
                <c:pt idx="8">
                  <c:v>404</c:v>
                </c:pt>
                <c:pt idx="10">
                  <c:v>378</c:v>
                </c:pt>
                <c:pt idx="12">
                  <c:v>352.00000000000006</c:v>
                </c:pt>
                <c:pt idx="14">
                  <c:v>326.00000000000006</c:v>
                </c:pt>
                <c:pt idx="16">
                  <c:v>300</c:v>
                </c:pt>
                <c:pt idx="18">
                  <c:v>274</c:v>
                </c:pt>
                <c:pt idx="20">
                  <c:v>248</c:v>
                </c:pt>
                <c:pt idx="22">
                  <c:v>222</c:v>
                </c:pt>
                <c:pt idx="24">
                  <c:v>196</c:v>
                </c:pt>
                <c:pt idx="26">
                  <c:v>170.00000000000003</c:v>
                </c:pt>
                <c:pt idx="28">
                  <c:v>144.00000000000003</c:v>
                </c:pt>
                <c:pt idx="30">
                  <c:v>118.00000000000001</c:v>
                </c:pt>
                <c:pt idx="32">
                  <c:v>92.000000000000028</c:v>
                </c:pt>
                <c:pt idx="34">
                  <c:v>66.000000000000028</c:v>
                </c:pt>
                <c:pt idx="36">
                  <c:v>40.000000000000028</c:v>
                </c:pt>
                <c:pt idx="38">
                  <c:v>14.000000000000028</c:v>
                </c:pt>
                <c:pt idx="40">
                  <c:v>-11.999999999999986</c:v>
                </c:pt>
                <c:pt idx="42">
                  <c:v>-37.999999999999972</c:v>
                </c:pt>
                <c:pt idx="44">
                  <c:v>-63.999999999999972</c:v>
                </c:pt>
                <c:pt idx="46">
                  <c:v>-89.999999999999972</c:v>
                </c:pt>
                <c:pt idx="48">
                  <c:v>-115.99999999999997</c:v>
                </c:pt>
                <c:pt idx="50">
                  <c:v>-141.99999999999997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0B-7B48-893C-E629070324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79533167"/>
        <c:axId val="378695551"/>
      </c:lineChart>
      <c:catAx>
        <c:axId val="37953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95551"/>
        <c:crosses val="autoZero"/>
        <c:auto val="1"/>
        <c:lblAlgn val="ctr"/>
        <c:lblOffset val="100"/>
        <c:noMultiLvlLbl val="0"/>
      </c:catAx>
      <c:valAx>
        <c:axId val="378695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953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071741032371E-2"/>
          <c:y val="0.19710666375036454"/>
          <c:w val="0.936661854768154"/>
          <c:h val="0.71050087489063862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'iterations 8 (SL)'!$N$4:$N$55</c:f>
              <c:numCache>
                <c:formatCode>General</c:formatCode>
                <c:ptCount val="52"/>
                <c:pt idx="0">
                  <c:v>340</c:v>
                </c:pt>
                <c:pt idx="2">
                  <c:v>330</c:v>
                </c:pt>
                <c:pt idx="4">
                  <c:v>320</c:v>
                </c:pt>
                <c:pt idx="6">
                  <c:v>310</c:v>
                </c:pt>
                <c:pt idx="8">
                  <c:v>300</c:v>
                </c:pt>
                <c:pt idx="10">
                  <c:v>290</c:v>
                </c:pt>
                <c:pt idx="12">
                  <c:v>280</c:v>
                </c:pt>
                <c:pt idx="14">
                  <c:v>270</c:v>
                </c:pt>
                <c:pt idx="16">
                  <c:v>260</c:v>
                </c:pt>
                <c:pt idx="18">
                  <c:v>250</c:v>
                </c:pt>
                <c:pt idx="20">
                  <c:v>240</c:v>
                </c:pt>
                <c:pt idx="22">
                  <c:v>230.00000000000003</c:v>
                </c:pt>
                <c:pt idx="24">
                  <c:v>220.00000000000003</c:v>
                </c:pt>
                <c:pt idx="26">
                  <c:v>210</c:v>
                </c:pt>
                <c:pt idx="28">
                  <c:v>200</c:v>
                </c:pt>
                <c:pt idx="30">
                  <c:v>174</c:v>
                </c:pt>
                <c:pt idx="32">
                  <c:v>148.00000000000003</c:v>
                </c:pt>
                <c:pt idx="34">
                  <c:v>122.00000000000003</c:v>
                </c:pt>
                <c:pt idx="36">
                  <c:v>96.000000000000014</c:v>
                </c:pt>
                <c:pt idx="38">
                  <c:v>70.000000000000014</c:v>
                </c:pt>
                <c:pt idx="40">
                  <c:v>44</c:v>
                </c:pt>
                <c:pt idx="42">
                  <c:v>18</c:v>
                </c:pt>
                <c:pt idx="44">
                  <c:v>-7.9999999999999716</c:v>
                </c:pt>
                <c:pt idx="46">
                  <c:v>-33.999999999999972</c:v>
                </c:pt>
                <c:pt idx="48">
                  <c:v>-60</c:v>
                </c:pt>
                <c:pt idx="50">
                  <c:v>-86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1-724F-B816-99D9D4C3F1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79533167"/>
        <c:axId val="378695551"/>
      </c:lineChart>
      <c:catAx>
        <c:axId val="37953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95551"/>
        <c:crosses val="autoZero"/>
        <c:auto val="1"/>
        <c:lblAlgn val="ctr"/>
        <c:lblOffset val="100"/>
        <c:noMultiLvlLbl val="0"/>
      </c:catAx>
      <c:valAx>
        <c:axId val="378695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953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22</xdr:row>
      <xdr:rowOff>12889</xdr:rowOff>
    </xdr:from>
    <xdr:ext cx="1839927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B3DD79A-0F34-2948-9480-004AA5B94C5C}"/>
                </a:ext>
              </a:extLst>
            </xdr:cNvPr>
            <xdr:cNvSpPr txBox="1"/>
          </xdr:nvSpPr>
          <xdr:spPr>
            <a:xfrm>
              <a:off x="6324600" y="5042089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270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270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B3DD79A-0F34-2948-9480-004AA5B94C5C}"/>
                </a:ext>
              </a:extLst>
            </xdr:cNvPr>
            <xdr:cNvSpPr txBox="1"/>
          </xdr:nvSpPr>
          <xdr:spPr>
            <a:xfrm>
              <a:off x="6324600" y="5042089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120^270▒〖𝑥𝑑𝑥/((420−120))+∫24_270^420▒270𝑑𝑥/((420−120))〗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290023</xdr:colOff>
      <xdr:row>21</xdr:row>
      <xdr:rowOff>277595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355E399-0CA8-1541-AD2E-D8A41FEC9C29}"/>
                </a:ext>
              </a:extLst>
            </xdr:cNvPr>
            <xdr:cNvSpPr txBox="1"/>
          </xdr:nvSpPr>
          <xdr:spPr>
            <a:xfrm>
              <a:off x="6619703" y="511375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(420−270)∗270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355E399-0CA8-1541-AD2E-D8A41FEC9C29}"/>
                </a:ext>
              </a:extLst>
            </xdr:cNvPr>
            <xdr:cNvSpPr txBox="1"/>
          </xdr:nvSpPr>
          <xdr:spPr>
            <a:xfrm>
              <a:off x="6619703" y="511375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270^2−120^2)/(2∗(300))]+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(420−270)∗270)/((300))]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39</xdr:row>
      <xdr:rowOff>12889</xdr:rowOff>
    </xdr:from>
    <xdr:ext cx="1905137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E0EEA94-6AFC-BD44-BD7A-A13ED7D7DBED}"/>
                </a:ext>
              </a:extLst>
            </xdr:cNvPr>
            <xdr:cNvSpPr txBox="1"/>
          </xdr:nvSpPr>
          <xdr:spPr>
            <a:xfrm>
              <a:off x="4683760" y="11107609"/>
              <a:ext cx="190513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300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300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300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E0EEA94-6AFC-BD44-BD7A-A13ED7D7DBED}"/>
                </a:ext>
              </a:extLst>
            </xdr:cNvPr>
            <xdr:cNvSpPr txBox="1"/>
          </xdr:nvSpPr>
          <xdr:spPr>
            <a:xfrm>
              <a:off x="4683760" y="11107609"/>
              <a:ext cx="190513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120^300▒〖𝑥𝑑𝑥/((420−120))+∫24_300^420▒300𝑑𝑥/((420−120))〗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290023</xdr:colOff>
      <xdr:row>38</xdr:row>
      <xdr:rowOff>277595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A4E95-0D0F-BA42-AC9D-113AF037E001}"/>
                </a:ext>
              </a:extLst>
            </xdr:cNvPr>
            <xdr:cNvSpPr txBox="1"/>
          </xdr:nvSpPr>
          <xdr:spPr>
            <a:xfrm>
              <a:off x="6619703" y="625167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300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(420−300)∗300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A4E95-0D0F-BA42-AC9D-113AF037E001}"/>
                </a:ext>
              </a:extLst>
            </xdr:cNvPr>
            <xdr:cNvSpPr txBox="1"/>
          </xdr:nvSpPr>
          <xdr:spPr>
            <a:xfrm>
              <a:off x="6619703" y="625167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300^2−120^2)/(2∗(300))]+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(420−300)∗300)/((300))]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977260</xdr:colOff>
      <xdr:row>24</xdr:row>
      <xdr:rowOff>49886</xdr:rowOff>
    </xdr:from>
    <xdr:ext cx="494751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7EA6189-D735-7253-B163-BA877341753F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$6,0.75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7EA6189-D735-7253-B163-BA877341753F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𝑋_$6,0.75^∗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977260</xdr:colOff>
      <xdr:row>18</xdr:row>
      <xdr:rowOff>49886</xdr:rowOff>
    </xdr:from>
    <xdr:ext cx="494751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6C6ABB7-230A-E649-93DC-A1FDD2E14E7E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$5,0.75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6C6ABB7-230A-E649-93DC-A1FDD2E14E7E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𝑋_$5,0.75^∗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977260</xdr:colOff>
      <xdr:row>18</xdr:row>
      <xdr:rowOff>49886</xdr:rowOff>
    </xdr:from>
    <xdr:ext cx="494751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859592-1665-ED45-948F-59BF5F732CC6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$5,0.75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859592-1665-ED45-948F-59BF5F732CC6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𝑋_$5,0.75^∗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2</xdr:col>
      <xdr:colOff>509735</xdr:colOff>
      <xdr:row>17</xdr:row>
      <xdr:rowOff>278303</xdr:rowOff>
    </xdr:from>
    <xdr:ext cx="494751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41A915F-3A25-2A48-ADD3-09E6E7B48785}"/>
                </a:ext>
              </a:extLst>
            </xdr:cNvPr>
            <xdr:cNvSpPr txBox="1"/>
          </xdr:nvSpPr>
          <xdr:spPr>
            <a:xfrm>
              <a:off x="2547217" y="4956289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$5,0.25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41A915F-3A25-2A48-ADD3-09E6E7B48785}"/>
                </a:ext>
              </a:extLst>
            </xdr:cNvPr>
            <xdr:cNvSpPr txBox="1"/>
          </xdr:nvSpPr>
          <xdr:spPr>
            <a:xfrm>
              <a:off x="2547217" y="4956289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𝑋_$5,0.25^∗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25</xdr:row>
      <xdr:rowOff>12889</xdr:rowOff>
    </xdr:from>
    <xdr:ext cx="1905137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B0E09A7-60D5-9940-9386-41E76E35282E}"/>
                </a:ext>
              </a:extLst>
            </xdr:cNvPr>
            <xdr:cNvSpPr txBox="1"/>
          </xdr:nvSpPr>
          <xdr:spPr>
            <a:xfrm>
              <a:off x="4673600" y="10909489"/>
              <a:ext cx="190513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300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300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300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B0E09A7-60D5-9940-9386-41E76E35282E}"/>
                </a:ext>
              </a:extLst>
            </xdr:cNvPr>
            <xdr:cNvSpPr txBox="1"/>
          </xdr:nvSpPr>
          <xdr:spPr>
            <a:xfrm>
              <a:off x="4673600" y="10909489"/>
              <a:ext cx="190513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120^300▒〖𝑥𝑑𝑥/((420−120))+∫24_300^420▒300𝑑𝑥/((420−120))〗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290023</xdr:colOff>
      <xdr:row>24</xdr:row>
      <xdr:rowOff>277595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E1C567-7CBE-DA42-A3BC-01F2438FAE19}"/>
                </a:ext>
              </a:extLst>
            </xdr:cNvPr>
            <xdr:cNvSpPr txBox="1"/>
          </xdr:nvSpPr>
          <xdr:spPr>
            <a:xfrm>
              <a:off x="6614623" y="1089479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300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(420−300)∗300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E1C567-7CBE-DA42-A3BC-01F2438FAE19}"/>
                </a:ext>
              </a:extLst>
            </xdr:cNvPr>
            <xdr:cNvSpPr txBox="1"/>
          </xdr:nvSpPr>
          <xdr:spPr>
            <a:xfrm>
              <a:off x="6614623" y="1089479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300^2−120^2)/(2∗(300))]+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(420−300)∗300)/((300))]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25</xdr:row>
      <xdr:rowOff>19774</xdr:rowOff>
    </xdr:from>
    <xdr:ext cx="1839927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7F081B3-C219-7548-BF99-D1F0AA802205}"/>
                </a:ext>
              </a:extLst>
            </xdr:cNvPr>
            <xdr:cNvSpPr txBox="1"/>
          </xdr:nvSpPr>
          <xdr:spPr>
            <a:xfrm>
              <a:off x="9474748" y="7100709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270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270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7F081B3-C219-7548-BF99-D1F0AA802205}"/>
                </a:ext>
              </a:extLst>
            </xdr:cNvPr>
            <xdr:cNvSpPr txBox="1"/>
          </xdr:nvSpPr>
          <xdr:spPr>
            <a:xfrm>
              <a:off x="9474748" y="7100709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120^270▒〖𝑥𝑑𝑥/((420−120))+∫24_270^420▒270𝑑𝑥/((420−120))〗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291338</xdr:colOff>
      <xdr:row>25</xdr:row>
      <xdr:rowOff>0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8CED187-3821-A743-8533-746DEAC97F1D}"/>
                </a:ext>
              </a:extLst>
            </xdr:cNvPr>
            <xdr:cNvSpPr txBox="1"/>
          </xdr:nvSpPr>
          <xdr:spPr>
            <a:xfrm>
              <a:off x="11410691" y="708093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(420−270)∗270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8CED187-3821-A743-8533-746DEAC97F1D}"/>
                </a:ext>
              </a:extLst>
            </xdr:cNvPr>
            <xdr:cNvSpPr txBox="1"/>
          </xdr:nvSpPr>
          <xdr:spPr>
            <a:xfrm>
              <a:off x="11410691" y="708093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270^2−120^2)/(2∗(300))]+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(420−270)∗270)/((300))]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631821</xdr:colOff>
      <xdr:row>30</xdr:row>
      <xdr:rowOff>242195</xdr:rowOff>
    </xdr:from>
    <xdr:to>
      <xdr:col>8</xdr:col>
      <xdr:colOff>270008</xdr:colOff>
      <xdr:row>40</xdr:row>
      <xdr:rowOff>151779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01890-0894-BD1F-A5AA-39FF21757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567863</xdr:colOff>
      <xdr:row>20</xdr:row>
      <xdr:rowOff>76493</xdr:rowOff>
    </xdr:from>
    <xdr:to>
      <xdr:col>8</xdr:col>
      <xdr:colOff>205392</xdr:colOff>
      <xdr:row>29</xdr:row>
      <xdr:rowOff>271799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4CD8D6-E873-9F82-96F9-38D6A756A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568960</xdr:colOff>
      <xdr:row>41</xdr:row>
      <xdr:rowOff>101600</xdr:rowOff>
    </xdr:from>
    <xdr:to>
      <xdr:col>8</xdr:col>
      <xdr:colOff>207147</xdr:colOff>
      <xdr:row>51</xdr:row>
      <xdr:rowOff>11184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958440-A530-9045-AE6E-38E088782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32</xdr:row>
      <xdr:rowOff>18531</xdr:rowOff>
    </xdr:from>
    <xdr:ext cx="8744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138ECCA-B77E-6E4D-9A61-77C361EF9921}"/>
                </a:ext>
              </a:extLst>
            </xdr:cNvPr>
            <xdr:cNvSpPr txBox="1"/>
          </xdr:nvSpPr>
          <xdr:spPr>
            <a:xfrm>
              <a:off x="4142988" y="7700482"/>
              <a:ext cx="8744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400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138ECCA-B77E-6E4D-9A61-77C361EF9921}"/>
                </a:ext>
              </a:extLst>
            </xdr:cNvPr>
            <xdr:cNvSpPr txBox="1"/>
          </xdr:nvSpPr>
          <xdr:spPr>
            <a:xfrm>
              <a:off x="4142988" y="7700482"/>
              <a:ext cx="8744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120^400▒𝑥𝑑𝑥/((420−120))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195803</xdr:colOff>
      <xdr:row>31</xdr:row>
      <xdr:rowOff>209085</xdr:rowOff>
    </xdr:from>
    <xdr:ext cx="787652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1E1CC7C-3CBA-7C4D-817C-CD42D5497684}"/>
                </a:ext>
              </a:extLst>
            </xdr:cNvPr>
            <xdr:cNvSpPr txBox="1"/>
          </xdr:nvSpPr>
          <xdr:spPr>
            <a:xfrm>
              <a:off x="5167388" y="7650975"/>
              <a:ext cx="787652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400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1E1CC7C-3CBA-7C4D-817C-CD42D5497684}"/>
                </a:ext>
              </a:extLst>
            </xdr:cNvPr>
            <xdr:cNvSpPr txBox="1"/>
          </xdr:nvSpPr>
          <xdr:spPr>
            <a:xfrm>
              <a:off x="5167388" y="7650975"/>
              <a:ext cx="787652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400^2−120^2)/(2∗(300))]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47</xdr:row>
      <xdr:rowOff>18531</xdr:rowOff>
    </xdr:from>
    <xdr:ext cx="8744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94F8654-ED2A-994C-B152-E806A7DE66B7}"/>
                </a:ext>
              </a:extLst>
            </xdr:cNvPr>
            <xdr:cNvSpPr txBox="1"/>
          </xdr:nvSpPr>
          <xdr:spPr>
            <a:xfrm>
              <a:off x="4142988" y="7700482"/>
              <a:ext cx="8744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380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94F8654-ED2A-994C-B152-E806A7DE66B7}"/>
                </a:ext>
              </a:extLst>
            </xdr:cNvPr>
            <xdr:cNvSpPr txBox="1"/>
          </xdr:nvSpPr>
          <xdr:spPr>
            <a:xfrm>
              <a:off x="4142988" y="7700482"/>
              <a:ext cx="8744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120^380▒𝑥𝑑𝑥/((420−120))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195803</xdr:colOff>
      <xdr:row>46</xdr:row>
      <xdr:rowOff>209085</xdr:rowOff>
    </xdr:from>
    <xdr:ext cx="787652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2CC30FF-B7A4-EA44-B976-540B84C523E3}"/>
                </a:ext>
              </a:extLst>
            </xdr:cNvPr>
            <xdr:cNvSpPr txBox="1"/>
          </xdr:nvSpPr>
          <xdr:spPr>
            <a:xfrm>
              <a:off x="5167388" y="10291646"/>
              <a:ext cx="787652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380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2CC30FF-B7A4-EA44-B976-540B84C523E3}"/>
                </a:ext>
              </a:extLst>
            </xdr:cNvPr>
            <xdr:cNvSpPr txBox="1"/>
          </xdr:nvSpPr>
          <xdr:spPr>
            <a:xfrm>
              <a:off x="5167388" y="10291646"/>
              <a:ext cx="787652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380^2−120^2)/(2∗(300))]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twoCellAnchor>
    <xdr:from>
      <xdr:col>1</xdr:col>
      <xdr:colOff>368904</xdr:colOff>
      <xdr:row>67</xdr:row>
      <xdr:rowOff>140304</xdr:rowOff>
    </xdr:from>
    <xdr:to>
      <xdr:col>11</xdr:col>
      <xdr:colOff>350762</xdr:colOff>
      <xdr:row>85</xdr:row>
      <xdr:rowOff>181427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10EE69-902E-6711-81E5-1219E9D47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574524</xdr:colOff>
      <xdr:row>40</xdr:row>
      <xdr:rowOff>31448</xdr:rowOff>
    </xdr:from>
    <xdr:to>
      <xdr:col>31</xdr:col>
      <xdr:colOff>211667</xdr:colOff>
      <xdr:row>51</xdr:row>
      <xdr:rowOff>113695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0FF55FA-3074-ADB4-B01A-2319287A4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405802</xdr:colOff>
      <xdr:row>4</xdr:row>
      <xdr:rowOff>213075</xdr:rowOff>
    </xdr:from>
    <xdr:ext cx="1839927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053BCC-CA1A-63B3-4BDD-8FAE25D21167}"/>
                </a:ext>
              </a:extLst>
            </xdr:cNvPr>
            <xdr:cNvSpPr txBox="1"/>
          </xdr:nvSpPr>
          <xdr:spPr>
            <a:xfrm>
              <a:off x="11472945" y="1180694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199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US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99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199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053BCC-CA1A-63B3-4BDD-8FAE25D21167}"/>
                </a:ext>
              </a:extLst>
            </xdr:cNvPr>
            <xdr:cNvSpPr txBox="1"/>
          </xdr:nvSpPr>
          <xdr:spPr>
            <a:xfrm>
              <a:off x="11472945" y="1180694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120^199▒〖𝑥𝑑𝑥/((420−120))+∫24_199^420▒199𝑑𝑥/((420−120))〗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693571</xdr:colOff>
      <xdr:row>4</xdr:row>
      <xdr:rowOff>200186</xdr:rowOff>
    </xdr:from>
    <xdr:ext cx="1788438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68F15E3-F9BC-4654-AC1D-09C298F4E705}"/>
                </a:ext>
              </a:extLst>
            </xdr:cNvPr>
            <xdr:cNvSpPr txBox="1"/>
          </xdr:nvSpPr>
          <xdr:spPr>
            <a:xfrm>
              <a:off x="13417761" y="1167805"/>
              <a:ext cx="1788438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199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(420−199)∗199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68F15E3-F9BC-4654-AC1D-09C298F4E705}"/>
                </a:ext>
              </a:extLst>
            </xdr:cNvPr>
            <xdr:cNvSpPr txBox="1"/>
          </xdr:nvSpPr>
          <xdr:spPr>
            <a:xfrm>
              <a:off x="13417761" y="1167805"/>
              <a:ext cx="1788438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199^2−120^2)/(2∗(300))]+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(420−199)∗199)/((300))]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163286</xdr:colOff>
      <xdr:row>7</xdr:row>
      <xdr:rowOff>2</xdr:rowOff>
    </xdr:from>
    <xdr:ext cx="2097562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70CB13-8B15-D740-AAF9-DD12DA31203B}"/>
                </a:ext>
              </a:extLst>
            </xdr:cNvPr>
            <xdr:cNvSpPr txBox="1"/>
          </xdr:nvSpPr>
          <xdr:spPr>
            <a:xfrm>
              <a:off x="11230429" y="1693335"/>
              <a:ext cx="2097562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278.28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278.28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278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70CB13-8B15-D740-AAF9-DD12DA31203B}"/>
                </a:ext>
              </a:extLst>
            </xdr:cNvPr>
            <xdr:cNvSpPr txBox="1"/>
          </xdr:nvSpPr>
          <xdr:spPr>
            <a:xfrm>
              <a:off x="11230429" y="1693335"/>
              <a:ext cx="2097562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120^278.28▒〖𝑥𝑑𝑥/((420−120))+∫24_278.28^420▒278𝑑𝑥/((420−120))〗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682685</xdr:colOff>
      <xdr:row>6</xdr:row>
      <xdr:rowOff>213487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F8A71EC-134E-5244-85FE-54C1B8439006}"/>
                </a:ext>
              </a:extLst>
            </xdr:cNvPr>
            <xdr:cNvSpPr txBox="1"/>
          </xdr:nvSpPr>
          <xdr:spPr>
            <a:xfrm>
              <a:off x="13406875" y="1664916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278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(420−278)∗278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F8A71EC-134E-5244-85FE-54C1B8439006}"/>
                </a:ext>
              </a:extLst>
            </xdr:cNvPr>
            <xdr:cNvSpPr txBox="1"/>
          </xdr:nvSpPr>
          <xdr:spPr>
            <a:xfrm>
              <a:off x="13406875" y="1664916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278^2−120^2)/(2∗(300))]+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(420−278)∗278)/((300))]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296334</xdr:colOff>
      <xdr:row>8</xdr:row>
      <xdr:rowOff>229811</xdr:rowOff>
    </xdr:from>
    <xdr:ext cx="1917063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B33E709-A611-F94C-A8BB-5E6D74B848D4}"/>
                </a:ext>
              </a:extLst>
            </xdr:cNvPr>
            <xdr:cNvSpPr txBox="1"/>
          </xdr:nvSpPr>
          <xdr:spPr>
            <a:xfrm>
              <a:off x="11363477" y="2165049"/>
              <a:ext cx="1917063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400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400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400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B33E709-A611-F94C-A8BB-5E6D74B848D4}"/>
                </a:ext>
              </a:extLst>
            </xdr:cNvPr>
            <xdr:cNvSpPr txBox="1"/>
          </xdr:nvSpPr>
          <xdr:spPr>
            <a:xfrm>
              <a:off x="11363477" y="2165049"/>
              <a:ext cx="1917063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120^400▒〖𝑥𝑑𝑥/((420−120))+∫24_400^420▒400𝑑𝑥/((420−120))〗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665751</xdr:colOff>
      <xdr:row>8</xdr:row>
      <xdr:rowOff>220745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2D25DB9-FFF8-D24B-99C8-B6C577E37C95}"/>
                </a:ext>
              </a:extLst>
            </xdr:cNvPr>
            <xdr:cNvSpPr txBox="1"/>
          </xdr:nvSpPr>
          <xdr:spPr>
            <a:xfrm>
              <a:off x="13389941" y="2155983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400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(420−400)∗400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2D25DB9-FFF8-D24B-99C8-B6C577E37C95}"/>
                </a:ext>
              </a:extLst>
            </xdr:cNvPr>
            <xdr:cNvSpPr txBox="1"/>
          </xdr:nvSpPr>
          <xdr:spPr>
            <a:xfrm>
              <a:off x="13389941" y="2155983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400^2−120^2)/(2∗(300))]+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(420−400)∗400)/((300))]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643466</xdr:colOff>
      <xdr:row>2</xdr:row>
      <xdr:rowOff>228599</xdr:rowOff>
    </xdr:from>
    <xdr:ext cx="2218267" cy="1919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547CC4F-9860-39CF-98A3-3E6C1F90D945}"/>
                </a:ext>
              </a:extLst>
            </xdr:cNvPr>
            <xdr:cNvSpPr txBox="1"/>
          </xdr:nvSpPr>
          <xdr:spPr>
            <a:xfrm>
              <a:off x="3132666" y="719666"/>
              <a:ext cx="2218267" cy="1919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𝐷</m:t>
                  </m:r>
                </m:oMath>
              </a14:m>
              <a:r>
                <a:rPr lang="en-US" sz="1100"/>
                <a:t>⏐S=High~U[240,420]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547CC4F-9860-39CF-98A3-3E6C1F90D945}"/>
                </a:ext>
              </a:extLst>
            </xdr:cNvPr>
            <xdr:cNvSpPr txBox="1"/>
          </xdr:nvSpPr>
          <xdr:spPr>
            <a:xfrm>
              <a:off x="3132666" y="719666"/>
              <a:ext cx="2218267" cy="1919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en-US" sz="1100"/>
                <a:t>⏐S=High~U[240,420]</a:t>
              </a:r>
            </a:p>
          </xdr:txBody>
        </xdr:sp>
      </mc:Fallback>
    </mc:AlternateContent>
    <xdr:clientData/>
  </xdr:oneCellAnchor>
  <xdr:oneCellAnchor>
    <xdr:from>
      <xdr:col>5</xdr:col>
      <xdr:colOff>626533</xdr:colOff>
      <xdr:row>3</xdr:row>
      <xdr:rowOff>228600</xdr:rowOff>
    </xdr:from>
    <xdr:ext cx="2218267" cy="1919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7EEB056-D0AB-CA47-A351-CD2EB9D0A852}"/>
                </a:ext>
              </a:extLst>
            </xdr:cNvPr>
            <xdr:cNvSpPr txBox="1"/>
          </xdr:nvSpPr>
          <xdr:spPr>
            <a:xfrm>
              <a:off x="3115733" y="965200"/>
              <a:ext cx="2218267" cy="1919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𝐷</m:t>
                  </m:r>
                </m:oMath>
              </a14:m>
              <a:r>
                <a:rPr lang="en-US" sz="1100"/>
                <a:t>⏐S=Low~U[120,260]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7EEB056-D0AB-CA47-A351-CD2EB9D0A852}"/>
                </a:ext>
              </a:extLst>
            </xdr:cNvPr>
            <xdr:cNvSpPr txBox="1"/>
          </xdr:nvSpPr>
          <xdr:spPr>
            <a:xfrm>
              <a:off x="3115733" y="965200"/>
              <a:ext cx="2218267" cy="1919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en-US" sz="1100"/>
                <a:t>⏐S=Low~U[120,260]</a:t>
              </a:r>
            </a:p>
          </xdr:txBody>
        </xdr:sp>
      </mc:Fallback>
    </mc:AlternateContent>
    <xdr:clientData/>
  </xdr:oneCellAnchor>
  <xdr:oneCellAnchor>
    <xdr:from>
      <xdr:col>3</xdr:col>
      <xdr:colOff>347133</xdr:colOff>
      <xdr:row>26</xdr:row>
      <xdr:rowOff>0</xdr:rowOff>
    </xdr:from>
    <xdr:ext cx="3001912" cy="2531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7876D8-FAA3-23D7-7C5A-CBCC49C0D2CB}"/>
                </a:ext>
              </a:extLst>
            </xdr:cNvPr>
            <xdr:cNvSpPr txBox="1"/>
          </xdr:nvSpPr>
          <xdr:spPr>
            <a:xfrm>
              <a:off x="1176866" y="4174067"/>
              <a:ext cx="3001912" cy="253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𝑄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0/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h𝑖𝑔h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−240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420−240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/>
                <a:t>0.5=&gt;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h𝑖𝑔h</m:t>
                      </m:r>
                    </m:sub>
                  </m:sSub>
                </m:oMath>
              </a14:m>
              <a:r>
                <a:rPr lang="en-US" sz="1100"/>
                <a:t>=0.5*180+240=&gt;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𝑸</m:t>
                      </m:r>
                    </m:e>
                    <m:sub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𝟎</m:t>
                      </m:r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𝑰𝒉𝒊𝒈𝒉</m:t>
                      </m:r>
                    </m:sub>
                  </m:sSub>
                </m:oMath>
              </a14:m>
              <a:r>
                <a:rPr lang="en-US" sz="1100" b="1"/>
                <a:t>=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7876D8-FAA3-23D7-7C5A-CBCC49C0D2CB}"/>
                </a:ext>
              </a:extLst>
            </xdr:cNvPr>
            <xdr:cNvSpPr txBox="1"/>
          </xdr:nvSpPr>
          <xdr:spPr>
            <a:xfrm>
              <a:off x="1176866" y="4174067"/>
              <a:ext cx="3001912" cy="253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𝑄_(0/ℎ𝑖𝑔ℎ)−240)/(420−240)=</a:t>
              </a:r>
              <a:r>
                <a:rPr lang="en-US" sz="1100"/>
                <a:t>0.5=&gt;</a:t>
              </a:r>
              <a:r>
                <a:rPr lang="en-US" sz="1100" b="0" i="0">
                  <a:latin typeface="Cambria Math" panose="02040503050406030204" pitchFamily="18" charset="0"/>
                </a:rPr>
                <a:t>𝑄_(0/ℎ𝑖𝑔ℎ)</a:t>
              </a:r>
              <a:r>
                <a:rPr lang="en-US" sz="1100"/>
                <a:t>=0.5*180+240=&gt;</a:t>
              </a:r>
              <a:r>
                <a:rPr lang="en-US" sz="1100" b="1" i="0">
                  <a:latin typeface="Cambria Math" panose="02040503050406030204" pitchFamily="18" charset="0"/>
                </a:rPr>
                <a:t>𝑸_𝟎𝑰𝒉𝒊𝒈𝒉</a:t>
              </a:r>
              <a:r>
                <a:rPr lang="en-US" sz="1100" b="1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499533</xdr:colOff>
      <xdr:row>31</xdr:row>
      <xdr:rowOff>228601</xdr:rowOff>
    </xdr:from>
    <xdr:ext cx="2866106" cy="251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A558DB1-16BE-E845-87E8-F5D5B6E098E1}"/>
                </a:ext>
              </a:extLst>
            </xdr:cNvPr>
            <xdr:cNvSpPr txBox="1"/>
          </xdr:nvSpPr>
          <xdr:spPr>
            <a:xfrm>
              <a:off x="1329266" y="5630334"/>
              <a:ext cx="2866106" cy="251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𝑄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0/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𝑙𝑜𝑤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−120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260−120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/>
                <a:t>0.5=&gt;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𝑙𝑜𝑤</m:t>
                      </m:r>
                    </m:sub>
                  </m:sSub>
                </m:oMath>
              </a14:m>
              <a:r>
                <a:rPr lang="en-US" sz="1100"/>
                <a:t>=0.5*140+120=&gt;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𝑸</m:t>
                      </m:r>
                    </m:e>
                    <m:sub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𝟎</m:t>
                      </m:r>
                      <m:r>
                        <a:rPr lang="en-US" sz="1100" b="1" i="1">
                          <a:latin typeface="Cambria Math" panose="02040503050406030204" pitchFamily="18" charset="0"/>
                        </a:rPr>
                        <m:t>/</m:t>
                      </m:r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𝒍𝒐𝒘</m:t>
                      </m:r>
                    </m:sub>
                  </m:sSub>
                </m:oMath>
              </a14:m>
              <a:r>
                <a:rPr lang="en-US" sz="1100" b="1"/>
                <a:t>=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A558DB1-16BE-E845-87E8-F5D5B6E098E1}"/>
                </a:ext>
              </a:extLst>
            </xdr:cNvPr>
            <xdr:cNvSpPr txBox="1"/>
          </xdr:nvSpPr>
          <xdr:spPr>
            <a:xfrm>
              <a:off x="1329266" y="5630334"/>
              <a:ext cx="2866106" cy="251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𝑄_(0/𝑙𝑜𝑤)−120)/(260−120)=</a:t>
              </a:r>
              <a:r>
                <a:rPr lang="en-US" sz="1100"/>
                <a:t>0.5=&gt;</a:t>
              </a:r>
              <a:r>
                <a:rPr lang="en-US" sz="1100" b="0" i="0">
                  <a:latin typeface="Cambria Math" panose="02040503050406030204" pitchFamily="18" charset="0"/>
                </a:rPr>
                <a:t>𝑄_(0/𝑙𝑜𝑤)</a:t>
              </a:r>
              <a:r>
                <a:rPr lang="en-US" sz="1100"/>
                <a:t>=0.5*140+120=&gt;</a:t>
              </a:r>
              <a:r>
                <a:rPr lang="en-US" sz="1100" b="1" i="0">
                  <a:latin typeface="Cambria Math" panose="02040503050406030204" pitchFamily="18" charset="0"/>
                </a:rPr>
                <a:t>𝑸_(𝟎/𝒍𝒐𝒘)</a:t>
              </a:r>
              <a:r>
                <a:rPr lang="en-US" sz="1100" b="1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309003</xdr:colOff>
      <xdr:row>39</xdr:row>
      <xdr:rowOff>218062</xdr:rowOff>
    </xdr:from>
    <xdr:ext cx="3144900" cy="2531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6918FF-049A-3E44-9F2C-DF059C8C746A}"/>
                </a:ext>
              </a:extLst>
            </xdr:cNvPr>
            <xdr:cNvSpPr txBox="1"/>
          </xdr:nvSpPr>
          <xdr:spPr>
            <a:xfrm>
              <a:off x="1957095" y="9670352"/>
              <a:ext cx="3144900" cy="253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𝑄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2/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h𝑖𝑔h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−240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420−240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/>
                <a:t>0.62=&gt;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h𝑖𝑔h</m:t>
                      </m:r>
                    </m:sub>
                  </m:sSub>
                </m:oMath>
              </a14:m>
              <a:r>
                <a:rPr lang="en-US" sz="1100"/>
                <a:t>=0.62*180+240=&gt;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𝑸</m:t>
                      </m:r>
                    </m:e>
                    <m:sub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𝟐</m:t>
                      </m:r>
                      <m:r>
                        <a:rPr lang="en-US" sz="1100" b="1" i="1">
                          <a:latin typeface="Cambria Math" panose="02040503050406030204" pitchFamily="18" charset="0"/>
                        </a:rPr>
                        <m:t>/</m:t>
                      </m:r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𝒉𝒊𝒈𝒉</m:t>
                      </m:r>
                    </m:sub>
                  </m:sSub>
                </m:oMath>
              </a14:m>
              <a:r>
                <a:rPr lang="en-US" sz="1100" b="1"/>
                <a:t>=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6918FF-049A-3E44-9F2C-DF059C8C746A}"/>
                </a:ext>
              </a:extLst>
            </xdr:cNvPr>
            <xdr:cNvSpPr txBox="1"/>
          </xdr:nvSpPr>
          <xdr:spPr>
            <a:xfrm>
              <a:off x="1957095" y="9670352"/>
              <a:ext cx="3144900" cy="253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𝑄_(2/ℎ𝑖𝑔ℎ)−240)/(420−240)=</a:t>
              </a:r>
              <a:r>
                <a:rPr lang="en-US" sz="1100"/>
                <a:t>0.62=&gt;</a:t>
              </a:r>
              <a:r>
                <a:rPr lang="en-US" sz="1100" b="0" i="0">
                  <a:latin typeface="Cambria Math" panose="02040503050406030204" pitchFamily="18" charset="0"/>
                </a:rPr>
                <a:t>𝑄_(2/ℎ𝑖𝑔ℎ)</a:t>
              </a:r>
              <a:r>
                <a:rPr lang="en-US" sz="1100"/>
                <a:t>=0.62*180+240=&gt;</a:t>
              </a:r>
              <a:r>
                <a:rPr lang="en-US" sz="1100" b="1" i="0">
                  <a:latin typeface="Cambria Math" panose="02040503050406030204" pitchFamily="18" charset="0"/>
                </a:rPr>
                <a:t>𝑸_(𝟐/𝒉𝒊𝒈𝒉)</a:t>
              </a:r>
              <a:r>
                <a:rPr lang="en-US" sz="1100" b="1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347780</xdr:colOff>
      <xdr:row>45</xdr:row>
      <xdr:rowOff>198674</xdr:rowOff>
    </xdr:from>
    <xdr:ext cx="3009093" cy="251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8DF70B4-8627-E048-8ACF-5D83BC68C19A}"/>
                </a:ext>
              </a:extLst>
            </xdr:cNvPr>
            <xdr:cNvSpPr txBox="1"/>
          </xdr:nvSpPr>
          <xdr:spPr>
            <a:xfrm>
              <a:off x="1995872" y="11105163"/>
              <a:ext cx="3009093" cy="251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𝑄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2/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𝑙𝑜𝑤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−120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260−120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/>
                <a:t>0.62=&gt;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𝑙𝑜𝑤</m:t>
                      </m:r>
                    </m:sub>
                  </m:sSub>
                </m:oMath>
              </a14:m>
              <a:r>
                <a:rPr lang="en-US" sz="1100"/>
                <a:t>=0.62*140+120=&gt;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𝑸</m:t>
                      </m:r>
                    </m:e>
                    <m:sub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𝟐</m:t>
                      </m:r>
                      <m:r>
                        <a:rPr lang="en-US" sz="1100" b="1" i="1">
                          <a:latin typeface="Cambria Math" panose="02040503050406030204" pitchFamily="18" charset="0"/>
                        </a:rPr>
                        <m:t>/</m:t>
                      </m:r>
                      <m:r>
                        <a:rPr lang="en-US" sz="1100" b="1" i="1">
                          <a:latin typeface="Cambria Math" panose="02040503050406030204" pitchFamily="18" charset="0"/>
                        </a:rPr>
                        <m:t>𝒍𝒐𝒘</m:t>
                      </m:r>
                    </m:sub>
                  </m:sSub>
                </m:oMath>
              </a14:m>
              <a:r>
                <a:rPr lang="en-US" sz="1100" b="1"/>
                <a:t>=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8DF70B4-8627-E048-8ACF-5D83BC68C19A}"/>
                </a:ext>
              </a:extLst>
            </xdr:cNvPr>
            <xdr:cNvSpPr txBox="1"/>
          </xdr:nvSpPr>
          <xdr:spPr>
            <a:xfrm>
              <a:off x="1995872" y="11105163"/>
              <a:ext cx="3009093" cy="251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𝑄_(2/𝑙𝑜𝑤)−120)/(260−120)=</a:t>
              </a:r>
              <a:r>
                <a:rPr lang="en-US" sz="1100"/>
                <a:t>0.62=&gt;</a:t>
              </a:r>
              <a:r>
                <a:rPr lang="en-US" sz="1100" b="0" i="0">
                  <a:latin typeface="Cambria Math" panose="02040503050406030204" pitchFamily="18" charset="0"/>
                </a:rPr>
                <a:t>𝑄_(2/𝑙𝑜𝑤)</a:t>
              </a:r>
              <a:r>
                <a:rPr lang="en-US" sz="1100"/>
                <a:t>=0.62*140+120=&gt;</a:t>
              </a:r>
              <a:r>
                <a:rPr lang="en-US" sz="1100" b="1" i="0">
                  <a:latin typeface="Cambria Math" panose="02040503050406030204" pitchFamily="18" charset="0"/>
                </a:rPr>
                <a:t>𝑸_(𝟐/𝒍𝒐𝒘)</a:t>
              </a:r>
              <a:r>
                <a:rPr lang="en-US" sz="1100" b="1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550333</xdr:colOff>
      <xdr:row>55</xdr:row>
      <xdr:rowOff>122956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CF5E735-7E56-9F4D-AF04-54BB39670293}"/>
                </a:ext>
              </a:extLst>
            </xdr:cNvPr>
            <xdr:cNvSpPr txBox="1"/>
          </xdr:nvSpPr>
          <xdr:spPr>
            <a:xfrm>
              <a:off x="2209800" y="10926423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330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CF5E735-7E56-9F4D-AF04-54BB39670293}"/>
                </a:ext>
              </a:extLst>
            </xdr:cNvPr>
            <xdr:cNvSpPr txBox="1"/>
          </xdr:nvSpPr>
          <xdr:spPr>
            <a:xfrm>
              <a:off x="2209800" y="10926423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687956</xdr:colOff>
      <xdr:row>55</xdr:row>
      <xdr:rowOff>101600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67230EC-8E05-D242-BEAF-24880324C6AA}"/>
                </a:ext>
              </a:extLst>
            </xdr:cNvPr>
            <xdr:cNvSpPr txBox="1"/>
          </xdr:nvSpPr>
          <xdr:spPr>
            <a:xfrm>
              <a:off x="4218556" y="10905067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67230EC-8E05-D242-BEAF-24880324C6AA}"/>
                </a:ext>
              </a:extLst>
            </xdr:cNvPr>
            <xdr:cNvSpPr txBox="1"/>
          </xdr:nvSpPr>
          <xdr:spPr>
            <a:xfrm>
              <a:off x="4218556" y="10905067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11</xdr:col>
      <xdr:colOff>290840</xdr:colOff>
      <xdr:row>56</xdr:row>
      <xdr:rowOff>108608</xdr:rowOff>
    </xdr:from>
    <xdr:ext cx="1842749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581AFB-69F5-7847-B142-BA66CD3FA539}"/>
                </a:ext>
              </a:extLst>
            </xdr:cNvPr>
            <xdr:cNvSpPr txBox="1"/>
          </xdr:nvSpPr>
          <xdr:spPr>
            <a:xfrm>
              <a:off x="8434351" y="1114112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120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190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1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90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260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190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(260−120)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581AFB-69F5-7847-B142-BA66CD3FA539}"/>
                </a:ext>
              </a:extLst>
            </xdr:cNvPr>
            <xdr:cNvSpPr txBox="1"/>
          </xdr:nvSpPr>
          <xdr:spPr>
            <a:xfrm>
              <a:off x="8434351" y="1114112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𝑥𝑑𝑥/((260−120))+∫24_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190^</a:t>
              </a:r>
              <a:r>
                <a:rPr lang="en-US" sz="1100" b="0" i="0">
                  <a:latin typeface="Cambria Math" panose="02040503050406030204" pitchFamily="18" charset="0"/>
                </a:rPr>
                <a:t>260▒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</a:t>
              </a:r>
              <a:r>
                <a:rPr lang="en-US" sz="1100" b="0" i="0">
                  <a:latin typeface="Cambria Math" panose="02040503050406030204" pitchFamily="18" charset="0"/>
                </a:rPr>
                <a:t>𝑑𝑥/((260−120))〗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641745</xdr:colOff>
      <xdr:row>56</xdr:row>
      <xdr:rowOff>87252</xdr:rowOff>
    </xdr:from>
    <xdr:ext cx="1796902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4A99477-576E-6641-B893-652B8719628A}"/>
                </a:ext>
              </a:extLst>
            </xdr:cNvPr>
            <xdr:cNvSpPr txBox="1"/>
          </xdr:nvSpPr>
          <xdr:spPr>
            <a:xfrm>
              <a:off x="10433348" y="11119771"/>
              <a:ext cx="1796902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190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2∗(140)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190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190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(140)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4A99477-576E-6641-B893-652B8719628A}"/>
                </a:ext>
              </a:extLst>
            </xdr:cNvPr>
            <xdr:cNvSpPr txBox="1"/>
          </xdr:nvSpPr>
          <xdr:spPr>
            <a:xfrm>
              <a:off x="10433348" y="11119771"/>
              <a:ext cx="1796902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190^</a:t>
              </a:r>
              <a:r>
                <a:rPr lang="en-US" sz="1100" b="0" i="0">
                  <a:latin typeface="Cambria Math" panose="02040503050406030204" pitchFamily="18" charset="0"/>
                </a:rPr>
                <a:t>2−120^2)/(2∗(140))]+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(260−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190)/(</a:t>
              </a:r>
              <a:r>
                <a:rPr lang="en-US" sz="1100" b="0" i="0">
                  <a:latin typeface="Cambria Math" panose="02040503050406030204" pitchFamily="18" charset="0"/>
                </a:rPr>
                <a:t>(140))]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552013</xdr:colOff>
      <xdr:row>58</xdr:row>
      <xdr:rowOff>78103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43B4557-7CB0-EE47-AFFF-AD70BA359809}"/>
                </a:ext>
              </a:extLst>
            </xdr:cNvPr>
            <xdr:cNvSpPr txBox="1"/>
          </xdr:nvSpPr>
          <xdr:spPr>
            <a:xfrm>
              <a:off x="3024150" y="11847416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352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43B4557-7CB0-EE47-AFFF-AD70BA359809}"/>
                </a:ext>
              </a:extLst>
            </xdr:cNvPr>
            <xdr:cNvSpPr txBox="1"/>
          </xdr:nvSpPr>
          <xdr:spPr>
            <a:xfrm>
              <a:off x="3024150" y="11847416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689636</xdr:colOff>
      <xdr:row>58</xdr:row>
      <xdr:rowOff>56747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E5B4D1C-A697-F542-A676-81DD9A6DBE09}"/>
                </a:ext>
              </a:extLst>
            </xdr:cNvPr>
            <xdr:cNvSpPr txBox="1"/>
          </xdr:nvSpPr>
          <xdr:spPr>
            <a:xfrm>
              <a:off x="5023147" y="11826060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E5B4D1C-A697-F542-A676-81DD9A6DBE09}"/>
                </a:ext>
              </a:extLst>
            </xdr:cNvPr>
            <xdr:cNvSpPr txBox="1"/>
          </xdr:nvSpPr>
          <xdr:spPr>
            <a:xfrm>
              <a:off x="5023147" y="11826060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11</xdr:col>
      <xdr:colOff>310229</xdr:colOff>
      <xdr:row>57</xdr:row>
      <xdr:rowOff>50441</xdr:rowOff>
    </xdr:from>
    <xdr:ext cx="1842749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19BB701-F30E-B144-97D1-9E527812563E}"/>
                </a:ext>
              </a:extLst>
            </xdr:cNvPr>
            <xdr:cNvSpPr txBox="1"/>
          </xdr:nvSpPr>
          <xdr:spPr>
            <a:xfrm>
              <a:off x="9277786" y="1145135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120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207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260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190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(260−120)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19BB701-F30E-B144-97D1-9E527812563E}"/>
                </a:ext>
              </a:extLst>
            </xdr:cNvPr>
            <xdr:cNvSpPr txBox="1"/>
          </xdr:nvSpPr>
          <xdr:spPr>
            <a:xfrm>
              <a:off x="9277786" y="1145135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𝑥𝑑𝑥/((260−120))+∫24_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207^</a:t>
              </a:r>
              <a:r>
                <a:rPr lang="en-US" sz="1100" b="0" i="0">
                  <a:latin typeface="Cambria Math" panose="02040503050406030204" pitchFamily="18" charset="0"/>
                </a:rPr>
                <a:t>260▒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</a:t>
              </a:r>
              <a:r>
                <a:rPr lang="en-US" sz="1100" b="0" i="0">
                  <a:latin typeface="Cambria Math" panose="02040503050406030204" pitchFamily="18" charset="0"/>
                </a:rPr>
                <a:t>𝑑𝑥/((260−120))〗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661134</xdr:colOff>
      <xdr:row>57</xdr:row>
      <xdr:rowOff>29085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1037C53-5049-1146-8565-9239DA21A064}"/>
                </a:ext>
              </a:extLst>
            </xdr:cNvPr>
            <xdr:cNvSpPr txBox="1"/>
          </xdr:nvSpPr>
          <xdr:spPr>
            <a:xfrm>
              <a:off x="11276783" y="11430001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207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2∗(140)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(140)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1037C53-5049-1146-8565-9239DA21A064}"/>
                </a:ext>
              </a:extLst>
            </xdr:cNvPr>
            <xdr:cNvSpPr txBox="1"/>
          </xdr:nvSpPr>
          <xdr:spPr>
            <a:xfrm>
              <a:off x="11276783" y="11430001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207^</a:t>
              </a:r>
              <a:r>
                <a:rPr lang="en-US" sz="1100" b="0" i="0">
                  <a:latin typeface="Cambria Math" panose="02040503050406030204" pitchFamily="18" charset="0"/>
                </a:rPr>
                <a:t>2−120^2)/(2∗(140))]+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(260−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207)/(</a:t>
              </a:r>
              <a:r>
                <a:rPr lang="en-US" sz="1100" b="0" i="0">
                  <a:latin typeface="Cambria Math" panose="02040503050406030204" pitchFamily="18" charset="0"/>
                </a:rPr>
                <a:t>(140))]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533206</xdr:colOff>
      <xdr:row>59</xdr:row>
      <xdr:rowOff>69829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02EC62F-526B-E049-9D43-C97A8F97C9A5}"/>
                </a:ext>
              </a:extLst>
            </xdr:cNvPr>
            <xdr:cNvSpPr txBox="1"/>
          </xdr:nvSpPr>
          <xdr:spPr>
            <a:xfrm>
              <a:off x="3005343" y="12207539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330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02EC62F-526B-E049-9D43-C97A8F97C9A5}"/>
                </a:ext>
              </a:extLst>
            </xdr:cNvPr>
            <xdr:cNvSpPr txBox="1"/>
          </xdr:nvSpPr>
          <xdr:spPr>
            <a:xfrm>
              <a:off x="3005343" y="12207539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670829</xdr:colOff>
      <xdr:row>59</xdr:row>
      <xdr:rowOff>48473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9B58FE2-9D59-284B-B22A-1380F0648F2B}"/>
                </a:ext>
              </a:extLst>
            </xdr:cNvPr>
            <xdr:cNvSpPr txBox="1"/>
          </xdr:nvSpPr>
          <xdr:spPr>
            <a:xfrm>
              <a:off x="5004340" y="12186183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9B58FE2-9D59-284B-B22A-1380F0648F2B}"/>
                </a:ext>
              </a:extLst>
            </xdr:cNvPr>
            <xdr:cNvSpPr txBox="1"/>
          </xdr:nvSpPr>
          <xdr:spPr>
            <a:xfrm>
              <a:off x="5004340" y="12186183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523511</xdr:colOff>
      <xdr:row>61</xdr:row>
      <xdr:rowOff>60134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4DA1D7-4DF7-5F46-B9D2-055C121A3019}"/>
                </a:ext>
              </a:extLst>
            </xdr:cNvPr>
            <xdr:cNvSpPr txBox="1"/>
          </xdr:nvSpPr>
          <xdr:spPr>
            <a:xfrm>
              <a:off x="2995648" y="12566241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352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4DA1D7-4DF7-5F46-B9D2-055C121A3019}"/>
                </a:ext>
              </a:extLst>
            </xdr:cNvPr>
            <xdr:cNvSpPr txBox="1"/>
          </xdr:nvSpPr>
          <xdr:spPr>
            <a:xfrm>
              <a:off x="2995648" y="12566241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661134</xdr:colOff>
      <xdr:row>61</xdr:row>
      <xdr:rowOff>38778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09129EE-9C49-A142-B69A-FC78562983E3}"/>
                </a:ext>
              </a:extLst>
            </xdr:cNvPr>
            <xdr:cNvSpPr txBox="1"/>
          </xdr:nvSpPr>
          <xdr:spPr>
            <a:xfrm>
              <a:off x="4994645" y="1254488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09129EE-9C49-A142-B69A-FC78562983E3}"/>
                </a:ext>
              </a:extLst>
            </xdr:cNvPr>
            <xdr:cNvSpPr txBox="1"/>
          </xdr:nvSpPr>
          <xdr:spPr>
            <a:xfrm>
              <a:off x="4994645" y="1254488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475038</xdr:colOff>
      <xdr:row>62</xdr:row>
      <xdr:rowOff>108608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6A941BD-A381-8049-A594-90CC8107DF38}"/>
                </a:ext>
              </a:extLst>
            </xdr:cNvPr>
            <xdr:cNvSpPr txBox="1"/>
          </xdr:nvSpPr>
          <xdr:spPr>
            <a:xfrm>
              <a:off x="2947175" y="13225478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330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6A941BD-A381-8049-A594-90CC8107DF38}"/>
                </a:ext>
              </a:extLst>
            </xdr:cNvPr>
            <xdr:cNvSpPr txBox="1"/>
          </xdr:nvSpPr>
          <xdr:spPr>
            <a:xfrm>
              <a:off x="2947175" y="13225478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612661</xdr:colOff>
      <xdr:row>62</xdr:row>
      <xdr:rowOff>87252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4186DA1-4FE6-9B4E-BADD-019CB9A6057F}"/>
                </a:ext>
              </a:extLst>
            </xdr:cNvPr>
            <xdr:cNvSpPr txBox="1"/>
          </xdr:nvSpPr>
          <xdr:spPr>
            <a:xfrm>
              <a:off x="4946172" y="13204122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4186DA1-4FE6-9B4E-BADD-019CB9A6057F}"/>
                </a:ext>
              </a:extLst>
            </xdr:cNvPr>
            <xdr:cNvSpPr txBox="1"/>
          </xdr:nvSpPr>
          <xdr:spPr>
            <a:xfrm>
              <a:off x="4946172" y="13204122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464761</xdr:colOff>
      <xdr:row>63</xdr:row>
      <xdr:rowOff>87798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B28B3B0-426D-0E4F-A65A-466FCEB9C325}"/>
                </a:ext>
              </a:extLst>
            </xdr:cNvPr>
            <xdr:cNvSpPr txBox="1"/>
          </xdr:nvSpPr>
          <xdr:spPr>
            <a:xfrm>
              <a:off x="2936898" y="13573065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352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B28B3B0-426D-0E4F-A65A-466FCEB9C325}"/>
                </a:ext>
              </a:extLst>
            </xdr:cNvPr>
            <xdr:cNvSpPr txBox="1"/>
          </xdr:nvSpPr>
          <xdr:spPr>
            <a:xfrm>
              <a:off x="2936898" y="13573065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602384</xdr:colOff>
      <xdr:row>63</xdr:row>
      <xdr:rowOff>66442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281E976-6B2E-9744-A025-6A24C451E305}"/>
                </a:ext>
              </a:extLst>
            </xdr:cNvPr>
            <xdr:cNvSpPr txBox="1"/>
          </xdr:nvSpPr>
          <xdr:spPr>
            <a:xfrm>
              <a:off x="4935895" y="13551709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281E976-6B2E-9744-A025-6A24C451E305}"/>
                </a:ext>
              </a:extLst>
            </xdr:cNvPr>
            <xdr:cNvSpPr txBox="1"/>
          </xdr:nvSpPr>
          <xdr:spPr>
            <a:xfrm>
              <a:off x="4935895" y="13551709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571985</xdr:colOff>
      <xdr:row>54</xdr:row>
      <xdr:rowOff>31050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FDDE2C2-B1BC-CF4D-B31B-3585B22BE4C5}"/>
                </a:ext>
              </a:extLst>
            </xdr:cNvPr>
            <xdr:cNvSpPr txBox="1"/>
          </xdr:nvSpPr>
          <xdr:spPr>
            <a:xfrm>
              <a:off x="3044122" y="10695172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352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FDDE2C2-B1BC-CF4D-B31B-3585B22BE4C5}"/>
                </a:ext>
              </a:extLst>
            </xdr:cNvPr>
            <xdr:cNvSpPr txBox="1"/>
          </xdr:nvSpPr>
          <xdr:spPr>
            <a:xfrm>
              <a:off x="3044122" y="10695172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709608</xdr:colOff>
      <xdr:row>54</xdr:row>
      <xdr:rowOff>9694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B06CBD5-BC41-8D47-966F-96CDBC9E1970}"/>
                </a:ext>
              </a:extLst>
            </xdr:cNvPr>
            <xdr:cNvSpPr txBox="1"/>
          </xdr:nvSpPr>
          <xdr:spPr>
            <a:xfrm>
              <a:off x="5043119" y="10673816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B06CBD5-BC41-8D47-966F-96CDBC9E1970}"/>
                </a:ext>
              </a:extLst>
            </xdr:cNvPr>
            <xdr:cNvSpPr txBox="1"/>
          </xdr:nvSpPr>
          <xdr:spPr>
            <a:xfrm>
              <a:off x="5043119" y="10673816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11</xdr:col>
      <xdr:colOff>310232</xdr:colOff>
      <xdr:row>60</xdr:row>
      <xdr:rowOff>60136</xdr:rowOff>
    </xdr:from>
    <xdr:ext cx="1842749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94EE130-5ECF-4545-9A77-29BD6C1379C0}"/>
                </a:ext>
              </a:extLst>
            </xdr:cNvPr>
            <xdr:cNvSpPr txBox="1"/>
          </xdr:nvSpPr>
          <xdr:spPr>
            <a:xfrm>
              <a:off x="11197331" y="1498990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120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207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260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190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(260−120)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94EE130-5ECF-4545-9A77-29BD6C1379C0}"/>
                </a:ext>
              </a:extLst>
            </xdr:cNvPr>
            <xdr:cNvSpPr txBox="1"/>
          </xdr:nvSpPr>
          <xdr:spPr>
            <a:xfrm>
              <a:off x="11197331" y="1498990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𝑥𝑑𝑥/((260−120))+∫24_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207^</a:t>
              </a:r>
              <a:r>
                <a:rPr lang="en-US" sz="1100" b="0" i="0">
                  <a:latin typeface="Cambria Math" panose="02040503050406030204" pitchFamily="18" charset="0"/>
                </a:rPr>
                <a:t>260▒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</a:t>
              </a:r>
              <a:r>
                <a:rPr lang="en-US" sz="1100" b="0" i="0">
                  <a:latin typeface="Cambria Math" panose="02040503050406030204" pitchFamily="18" charset="0"/>
                </a:rPr>
                <a:t>𝑑𝑥/((260−120))〗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661137</xdr:colOff>
      <xdr:row>60</xdr:row>
      <xdr:rowOff>38780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611A6EE-E27C-DD4C-8EDC-592ECC577E40}"/>
                </a:ext>
              </a:extLst>
            </xdr:cNvPr>
            <xdr:cNvSpPr txBox="1"/>
          </xdr:nvSpPr>
          <xdr:spPr>
            <a:xfrm>
              <a:off x="13196328" y="14968551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207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2∗(140)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(140)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611A6EE-E27C-DD4C-8EDC-592ECC577E40}"/>
                </a:ext>
              </a:extLst>
            </xdr:cNvPr>
            <xdr:cNvSpPr txBox="1"/>
          </xdr:nvSpPr>
          <xdr:spPr>
            <a:xfrm>
              <a:off x="13196328" y="14968551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207^</a:t>
              </a:r>
              <a:r>
                <a:rPr lang="en-US" sz="1100" b="0" i="0">
                  <a:latin typeface="Cambria Math" panose="02040503050406030204" pitchFamily="18" charset="0"/>
                </a:rPr>
                <a:t>2−120^2)/(2∗(140))]+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(260−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207)/(</a:t>
              </a:r>
              <a:r>
                <a:rPr lang="en-US" sz="1100" b="0" i="0">
                  <a:latin typeface="Cambria Math" panose="02040503050406030204" pitchFamily="18" charset="0"/>
                </a:rPr>
                <a:t>(140))]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twoCellAnchor>
    <xdr:from>
      <xdr:col>17</xdr:col>
      <xdr:colOff>872519</xdr:colOff>
      <xdr:row>75</xdr:row>
      <xdr:rowOff>174504</xdr:rowOff>
    </xdr:from>
    <xdr:to>
      <xdr:col>18</xdr:col>
      <xdr:colOff>155115</xdr:colOff>
      <xdr:row>78</xdr:row>
      <xdr:rowOff>67863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8014CBC7-3BB1-0208-46D4-D456BEAD6353}"/>
            </a:ext>
          </a:extLst>
        </xdr:cNvPr>
        <xdr:cNvCxnSpPr/>
      </xdr:nvCxnSpPr>
      <xdr:spPr>
        <a:xfrm>
          <a:off x="17527939" y="19486260"/>
          <a:ext cx="523512" cy="620458"/>
        </a:xfrm>
        <a:prstGeom prst="straightConnector1">
          <a:avLst/>
        </a:prstGeom>
        <a:ln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707710</xdr:colOff>
      <xdr:row>70</xdr:row>
      <xdr:rowOff>135725</xdr:rowOff>
    </xdr:from>
    <xdr:to>
      <xdr:col>17</xdr:col>
      <xdr:colOff>358702</xdr:colOff>
      <xdr:row>72</xdr:row>
      <xdr:rowOff>58168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480AF979-1F5A-45D3-B91D-81D89391A98B}"/>
            </a:ext>
          </a:extLst>
        </xdr:cNvPr>
        <xdr:cNvCxnSpPr/>
      </xdr:nvCxnSpPr>
      <xdr:spPr>
        <a:xfrm flipV="1">
          <a:off x="16539084" y="18235649"/>
          <a:ext cx="475038" cy="40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495300</xdr:colOff>
      <xdr:row>14</xdr:row>
      <xdr:rowOff>127798</xdr:rowOff>
    </xdr:from>
    <xdr:to>
      <xdr:col>23</xdr:col>
      <xdr:colOff>438479</xdr:colOff>
      <xdr:row>32</xdr:row>
      <xdr:rowOff>105410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73823-538D-D74B-DF5B-692F8612B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101354</xdr:colOff>
      <xdr:row>14</xdr:row>
      <xdr:rowOff>6289</xdr:rowOff>
    </xdr:from>
    <xdr:to>
      <xdr:col>26</xdr:col>
      <xdr:colOff>60713</xdr:colOff>
      <xdr:row>34</xdr:row>
      <xdr:rowOff>132818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C1850-C4C6-8E45-8DA1-EF69F3DB3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439952</xdr:colOff>
      <xdr:row>37</xdr:row>
      <xdr:rowOff>37235</xdr:rowOff>
    </xdr:from>
    <xdr:to>
      <xdr:col>23</xdr:col>
      <xdr:colOff>1874490</xdr:colOff>
      <xdr:row>58</xdr:row>
      <xdr:rowOff>17963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03CC6-5E3D-8C45-8AB1-21CF5003F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9E45-BA9F-5846-A497-766DC3AE94ED}">
  <sheetPr codeName="Sheet1"/>
  <dimension ref="A2:K47"/>
  <sheetViews>
    <sheetView topLeftCell="A13" zoomScale="125" workbookViewId="0">
      <selection activeCell="J31" sqref="J31"/>
    </sheetView>
  </sheetViews>
  <sheetFormatPr defaultColWidth="10.875" defaultRowHeight="18"/>
  <cols>
    <col min="1" max="1" width="10.875" style="4"/>
    <col min="2" max="2" width="16" style="4" customWidth="1"/>
    <col min="3" max="3" width="12.375" style="4" bestFit="1" customWidth="1"/>
    <col min="4" max="4" width="11.125" style="4" bestFit="1" customWidth="1"/>
    <col min="5" max="5" width="11" style="4" bestFit="1" customWidth="1"/>
    <col min="6" max="8" width="10.875" style="4"/>
    <col min="9" max="9" width="12.5" style="4" customWidth="1"/>
    <col min="10" max="10" width="11.875" style="4" bestFit="1" customWidth="1"/>
    <col min="11" max="16384" width="10.875" style="4"/>
  </cols>
  <sheetData>
    <row r="2" spans="1:5">
      <c r="B2" s="4" t="s">
        <v>0</v>
      </c>
    </row>
    <row r="3" spans="1:5">
      <c r="C3" s="8" t="s">
        <v>173</v>
      </c>
      <c r="D3" s="9">
        <v>120</v>
      </c>
      <c r="E3" s="9">
        <v>420</v>
      </c>
    </row>
    <row r="4" spans="1:5">
      <c r="C4" s="8" t="s">
        <v>2</v>
      </c>
      <c r="D4" s="9">
        <f>AVERAGE(D3:E3)</f>
        <v>270</v>
      </c>
      <c r="E4" s="9"/>
    </row>
    <row r="5" spans="1:5">
      <c r="C5" s="8"/>
      <c r="D5" s="9"/>
      <c r="E5" s="9"/>
    </row>
    <row r="6" spans="1:5">
      <c r="C6" s="8" t="s">
        <v>3</v>
      </c>
      <c r="D6" s="10">
        <v>3</v>
      </c>
      <c r="E6" s="9"/>
    </row>
    <row r="7" spans="1:5">
      <c r="C7" s="8" t="s">
        <v>4</v>
      </c>
      <c r="D7" s="9" t="s">
        <v>5</v>
      </c>
      <c r="E7" s="9"/>
    </row>
    <row r="8" spans="1:5">
      <c r="C8" s="8" t="s">
        <v>6</v>
      </c>
      <c r="D8" s="9">
        <v>0.5</v>
      </c>
      <c r="E8" s="9" t="s">
        <v>7</v>
      </c>
    </row>
    <row r="9" spans="1:5">
      <c r="C9" s="8" t="s">
        <v>8</v>
      </c>
      <c r="D9" s="11">
        <v>0.5</v>
      </c>
      <c r="E9" s="9" t="s">
        <v>9</v>
      </c>
    </row>
    <row r="10" spans="1:5">
      <c r="C10" s="8" t="s">
        <v>10</v>
      </c>
      <c r="D10" s="10">
        <v>20</v>
      </c>
      <c r="E10" s="9" t="s">
        <v>11</v>
      </c>
    </row>
    <row r="11" spans="1:5">
      <c r="C11" s="8" t="s">
        <v>12</v>
      </c>
      <c r="D11" s="10">
        <v>40000</v>
      </c>
    </row>
    <row r="12" spans="1:5">
      <c r="A12" s="7">
        <v>1</v>
      </c>
      <c r="C12" s="4" t="s">
        <v>174</v>
      </c>
    </row>
    <row r="13" spans="1:5">
      <c r="C13" s="4" t="s">
        <v>175</v>
      </c>
    </row>
    <row r="14" spans="1:5">
      <c r="C14" s="4" t="s">
        <v>176</v>
      </c>
    </row>
    <row r="15" spans="1:5">
      <c r="C15" s="4" t="s">
        <v>177</v>
      </c>
    </row>
    <row r="16" spans="1:5">
      <c r="C16" s="4" t="s">
        <v>178</v>
      </c>
    </row>
    <row r="18" spans="1:11">
      <c r="A18" s="7">
        <v>2</v>
      </c>
      <c r="C18" s="4" t="s">
        <v>179</v>
      </c>
    </row>
    <row r="19" spans="1:11">
      <c r="B19" s="8" t="s">
        <v>14</v>
      </c>
      <c r="C19" s="4" t="s">
        <v>15</v>
      </c>
      <c r="D19" s="4">
        <f>3-0.5*3+0.5</f>
        <v>2</v>
      </c>
    </row>
    <row r="20" spans="1:11">
      <c r="B20" s="8" t="s">
        <v>16</v>
      </c>
      <c r="C20" s="6" t="s">
        <v>17</v>
      </c>
      <c r="D20" s="4">
        <f>5-3</f>
        <v>2</v>
      </c>
    </row>
    <row r="21" spans="1:11">
      <c r="B21" s="8" t="s">
        <v>18</v>
      </c>
      <c r="C21" s="4" t="s">
        <v>19</v>
      </c>
      <c r="D21" s="12">
        <f>D20/(D20+D19)</f>
        <v>0.5</v>
      </c>
    </row>
    <row r="23" spans="1:11" ht="21">
      <c r="B23" s="4" t="s">
        <v>50</v>
      </c>
      <c r="C23" s="24">
        <f>D21*($E$3-$D$3)+$D$3</f>
        <v>270</v>
      </c>
      <c r="D23" s="4" t="s">
        <v>90</v>
      </c>
      <c r="K23" s="4">
        <f>(270^2-120^2)/(2*300)+((420-270)*270)/300</f>
        <v>232.5</v>
      </c>
    </row>
    <row r="24" spans="1:11">
      <c r="C24" s="24"/>
      <c r="D24" s="4" t="s">
        <v>91</v>
      </c>
      <c r="F24" s="4">
        <f>C23-K23</f>
        <v>37.5</v>
      </c>
      <c r="G24" s="4" t="s">
        <v>180</v>
      </c>
      <c r="H24" s="4" t="s">
        <v>92</v>
      </c>
      <c r="J24" s="4">
        <f>$K23*5</f>
        <v>1162.5</v>
      </c>
    </row>
    <row r="25" spans="1:11">
      <c r="G25" s="4" t="s">
        <v>181</v>
      </c>
      <c r="H25" s="4" t="s">
        <v>93</v>
      </c>
      <c r="K25" s="5">
        <f>F24*$D$6*$D$8</f>
        <v>56.25</v>
      </c>
    </row>
    <row r="26" spans="1:11">
      <c r="G26" s="4" t="s">
        <v>182</v>
      </c>
      <c r="H26" s="4" t="s">
        <v>94</v>
      </c>
      <c r="J26" s="5">
        <f>F24*$D$9*-1</f>
        <v>-18.75</v>
      </c>
    </row>
    <row r="27" spans="1:11">
      <c r="G27" s="4" t="s">
        <v>183</v>
      </c>
      <c r="H27" s="4" t="s">
        <v>95</v>
      </c>
      <c r="J27" s="44">
        <f>$D$10*-1</f>
        <v>-20</v>
      </c>
    </row>
    <row r="28" spans="1:11">
      <c r="G28" s="4" t="s">
        <v>184</v>
      </c>
      <c r="H28" s="4" t="s">
        <v>97</v>
      </c>
      <c r="J28" s="44">
        <f>C23*D6*-1</f>
        <v>-810</v>
      </c>
    </row>
    <row r="29" spans="1:11">
      <c r="I29" s="8" t="s">
        <v>96</v>
      </c>
      <c r="J29" s="4" t="s">
        <v>185</v>
      </c>
    </row>
    <row r="30" spans="1:11">
      <c r="I30" s="64" t="s">
        <v>142</v>
      </c>
      <c r="J30" s="14">
        <f>J27+J26+K25+J24+J28</f>
        <v>370</v>
      </c>
    </row>
    <row r="32" spans="1:11">
      <c r="B32" s="65" t="s">
        <v>186</v>
      </c>
    </row>
    <row r="35" spans="2:11">
      <c r="B35" s="4" t="s">
        <v>20</v>
      </c>
    </row>
    <row r="36" spans="2:11">
      <c r="B36" s="8" t="s">
        <v>14</v>
      </c>
      <c r="C36" s="4" t="s">
        <v>15</v>
      </c>
      <c r="D36" s="4">
        <f>3-0.5*3+0.5</f>
        <v>2</v>
      </c>
    </row>
    <row r="37" spans="2:11">
      <c r="B37" s="8" t="s">
        <v>16</v>
      </c>
      <c r="C37" s="6" t="s">
        <v>21</v>
      </c>
      <c r="D37" s="4">
        <f>6-3</f>
        <v>3</v>
      </c>
    </row>
    <row r="38" spans="2:11">
      <c r="B38" s="8" t="s">
        <v>18</v>
      </c>
      <c r="C38" s="4" t="s">
        <v>19</v>
      </c>
      <c r="D38" s="12">
        <f>D37/(D37+D36)</f>
        <v>0.6</v>
      </c>
    </row>
    <row r="40" spans="2:11" ht="21">
      <c r="B40" s="4" t="s">
        <v>51</v>
      </c>
      <c r="C40" s="24">
        <f>D38*($E$3-$D$3)+$D$3</f>
        <v>300</v>
      </c>
      <c r="D40" s="4" t="s">
        <v>90</v>
      </c>
      <c r="K40" s="4">
        <f>(300^2-120^2)/(2*300)+((420-300)*300)/300</f>
        <v>246</v>
      </c>
    </row>
    <row r="41" spans="2:11">
      <c r="D41" s="4" t="s">
        <v>91</v>
      </c>
      <c r="F41" s="4">
        <f>C40-K40</f>
        <v>54</v>
      </c>
      <c r="G41" s="4" t="s">
        <v>180</v>
      </c>
      <c r="H41" s="4" t="s">
        <v>92</v>
      </c>
      <c r="J41" s="4">
        <f>$K40*6</f>
        <v>1476</v>
      </c>
    </row>
    <row r="42" spans="2:11">
      <c r="G42" s="4" t="s">
        <v>181</v>
      </c>
      <c r="H42" s="4" t="s">
        <v>93</v>
      </c>
      <c r="K42" s="5">
        <f>F41*$D$6*$D$8</f>
        <v>81</v>
      </c>
    </row>
    <row r="43" spans="2:11">
      <c r="G43" s="4" t="s">
        <v>182</v>
      </c>
      <c r="H43" s="4" t="s">
        <v>94</v>
      </c>
      <c r="J43" s="5">
        <f>F41*$D$9*-1</f>
        <v>-27</v>
      </c>
    </row>
    <row r="44" spans="2:11">
      <c r="G44" s="4" t="s">
        <v>183</v>
      </c>
      <c r="H44" s="4" t="s">
        <v>95</v>
      </c>
      <c r="J44" s="44">
        <f>$D$10*-1</f>
        <v>-20</v>
      </c>
    </row>
    <row r="45" spans="2:11">
      <c r="G45" s="4" t="s">
        <v>184</v>
      </c>
      <c r="H45" s="4" t="s">
        <v>97</v>
      </c>
      <c r="J45" s="44">
        <f>C40*D6*-1</f>
        <v>-900</v>
      </c>
    </row>
    <row r="46" spans="2:11">
      <c r="I46" s="8" t="s">
        <v>96</v>
      </c>
      <c r="J46" s="4" t="s">
        <v>185</v>
      </c>
    </row>
    <row r="47" spans="2:11">
      <c r="I47" s="64" t="s">
        <v>142</v>
      </c>
      <c r="J47" s="14">
        <f>J44+J43+K42+J41+J45</f>
        <v>610</v>
      </c>
    </row>
  </sheetData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4C94-0199-554B-B48E-1BAF899037E1}">
  <sheetPr codeName="Sheet2"/>
  <dimension ref="B2:F25"/>
  <sheetViews>
    <sheetView topLeftCell="A12" zoomScale="139" workbookViewId="0">
      <selection activeCell="D19" sqref="D19"/>
    </sheetView>
  </sheetViews>
  <sheetFormatPr defaultColWidth="10.875" defaultRowHeight="18"/>
  <cols>
    <col min="1" max="1" width="10.875" style="4"/>
    <col min="2" max="2" width="16" style="4" customWidth="1"/>
    <col min="3" max="3" width="12.375" style="4" bestFit="1" customWidth="1"/>
    <col min="4" max="4" width="11.125" style="4" bestFit="1" customWidth="1"/>
    <col min="5" max="5" width="18" style="4" customWidth="1"/>
    <col min="6" max="16384" width="10.875" style="4"/>
  </cols>
  <sheetData>
    <row r="2" spans="2:6">
      <c r="B2" s="4" t="s">
        <v>0</v>
      </c>
    </row>
    <row r="3" spans="2:6">
      <c r="C3" s="8" t="s">
        <v>1</v>
      </c>
      <c r="D3" s="9">
        <v>120</v>
      </c>
      <c r="E3" s="9">
        <v>420</v>
      </c>
    </row>
    <row r="4" spans="2:6">
      <c r="C4" s="8" t="s">
        <v>2</v>
      </c>
      <c r="D4" s="9">
        <f>AVERAGE(D3:E3)</f>
        <v>270</v>
      </c>
      <c r="E4" s="9"/>
    </row>
    <row r="5" spans="2:6">
      <c r="C5" s="8"/>
      <c r="D5" s="9"/>
      <c r="E5" s="9"/>
    </row>
    <row r="6" spans="2:6">
      <c r="C6" s="8" t="s">
        <v>3</v>
      </c>
      <c r="D6" s="10">
        <v>3</v>
      </c>
      <c r="E6" s="9"/>
    </row>
    <row r="7" spans="2:6">
      <c r="C7" s="8" t="s">
        <v>4</v>
      </c>
      <c r="D7" s="9" t="s">
        <v>5</v>
      </c>
      <c r="E7" s="9"/>
    </row>
    <row r="8" spans="2:6">
      <c r="C8" s="8" t="s">
        <v>6</v>
      </c>
      <c r="D8" s="9">
        <v>0.5</v>
      </c>
      <c r="E8" s="9" t="s">
        <v>7</v>
      </c>
    </row>
    <row r="9" spans="2:6">
      <c r="C9" s="8" t="s">
        <v>8</v>
      </c>
      <c r="D9" s="11">
        <v>0.5</v>
      </c>
      <c r="E9" s="9" t="s">
        <v>9</v>
      </c>
    </row>
    <row r="10" spans="2:6">
      <c r="C10" s="8" t="s">
        <v>10</v>
      </c>
      <c r="D10" s="10">
        <v>20</v>
      </c>
      <c r="E10" s="9" t="s">
        <v>11</v>
      </c>
    </row>
    <row r="11" spans="2:6">
      <c r="C11" s="8" t="s">
        <v>12</v>
      </c>
      <c r="D11" s="10">
        <v>40000</v>
      </c>
    </row>
    <row r="14" spans="2:6">
      <c r="B14" s="4" t="s">
        <v>13</v>
      </c>
      <c r="D14" s="4" t="s">
        <v>23</v>
      </c>
      <c r="F14" s="4" t="s">
        <v>24</v>
      </c>
    </row>
    <row r="15" spans="2:6" ht="18.75">
      <c r="B15" s="8" t="s">
        <v>14</v>
      </c>
      <c r="C15" s="4" t="s">
        <v>25</v>
      </c>
      <c r="D15" s="4">
        <f>3-0.25*3+0.5</f>
        <v>2.75</v>
      </c>
      <c r="E15" s="13" t="s">
        <v>26</v>
      </c>
      <c r="F15" s="4">
        <f>3-0.75*3+0.5</f>
        <v>1.25</v>
      </c>
    </row>
    <row r="16" spans="2:6" ht="18.75">
      <c r="B16" s="8" t="s">
        <v>16</v>
      </c>
      <c r="C16" s="6" t="s">
        <v>17</v>
      </c>
      <c r="D16" s="4">
        <f>5-3</f>
        <v>2</v>
      </c>
      <c r="E16" s="13"/>
      <c r="F16" s="4">
        <f>5-3</f>
        <v>2</v>
      </c>
    </row>
    <row r="17" spans="2:6" ht="18.75">
      <c r="B17" s="8" t="s">
        <v>18</v>
      </c>
      <c r="C17" s="4" t="s">
        <v>19</v>
      </c>
      <c r="D17" s="12">
        <f>D16/(D16+D15)</f>
        <v>0.42105263157894735</v>
      </c>
      <c r="E17" s="13"/>
      <c r="F17" s="12">
        <f>F16/(F16+F15)</f>
        <v>0.61538461538461542</v>
      </c>
    </row>
    <row r="18" spans="2:6" ht="18.75">
      <c r="E18" s="13"/>
    </row>
    <row r="19" spans="2:6" ht="18.75">
      <c r="D19" s="7">
        <f>D17*($E$3-$D$3)+$D$3</f>
        <v>246.31578947368422</v>
      </c>
      <c r="E19" s="13"/>
      <c r="F19" s="7">
        <f>F17*($E$3-$D$3)+$D$3</f>
        <v>304.61538461538464</v>
      </c>
    </row>
    <row r="20" spans="2:6" ht="18.75">
      <c r="B20" s="4" t="s">
        <v>20</v>
      </c>
      <c r="E20" s="13"/>
    </row>
    <row r="21" spans="2:6" ht="18.75">
      <c r="B21" s="8" t="s">
        <v>14</v>
      </c>
      <c r="C21" s="4" t="s">
        <v>25</v>
      </c>
      <c r="D21" s="4">
        <f>3-0.25*3+0.5</f>
        <v>2.75</v>
      </c>
      <c r="E21" s="13" t="s">
        <v>26</v>
      </c>
      <c r="F21" s="4">
        <f>3-0.75*3+0.5</f>
        <v>1.25</v>
      </c>
    </row>
    <row r="22" spans="2:6">
      <c r="B22" s="8" t="s">
        <v>16</v>
      </c>
      <c r="C22" s="6" t="s">
        <v>21</v>
      </c>
      <c r="D22" s="4">
        <f>6-3</f>
        <v>3</v>
      </c>
      <c r="F22" s="4">
        <f>6-3</f>
        <v>3</v>
      </c>
    </row>
    <row r="23" spans="2:6">
      <c r="B23" s="8" t="s">
        <v>18</v>
      </c>
      <c r="C23" s="4" t="s">
        <v>19</v>
      </c>
      <c r="D23" s="12">
        <f>D22/(D22+D21)</f>
        <v>0.52173913043478259</v>
      </c>
      <c r="F23" s="12">
        <f>F22/(F22+F21)</f>
        <v>0.70588235294117652</v>
      </c>
    </row>
    <row r="25" spans="2:6" ht="21">
      <c r="B25" s="4" t="s">
        <v>52</v>
      </c>
      <c r="D25" s="7">
        <f>D23*(E3-D3)+D3</f>
        <v>276.52173913043475</v>
      </c>
      <c r="F25" s="7">
        <f>F23*($E$3-$D$3)+$D$3</f>
        <v>331.76470588235293</v>
      </c>
    </row>
  </sheetData>
  <sheetProtection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2DE2-0C3D-B142-A760-FC198616F582}">
  <sheetPr codeName="Sheet3"/>
  <dimension ref="A2:N36"/>
  <sheetViews>
    <sheetView topLeftCell="A20" zoomScale="139" workbookViewId="0">
      <selection activeCell="D32" sqref="D32"/>
    </sheetView>
  </sheetViews>
  <sheetFormatPr defaultColWidth="10.875" defaultRowHeight="18"/>
  <cols>
    <col min="1" max="1" width="16.5" style="4" customWidth="1"/>
    <col min="2" max="2" width="16" style="4" customWidth="1"/>
    <col min="3" max="3" width="12.375" style="4" bestFit="1" customWidth="1"/>
    <col min="4" max="4" width="11.125" style="4" bestFit="1" customWidth="1"/>
    <col min="5" max="5" width="18" style="4" customWidth="1"/>
    <col min="6" max="7" width="10.875" style="4"/>
    <col min="8" max="8" width="18" style="4" customWidth="1"/>
    <col min="9" max="16384" width="10.875" style="4"/>
  </cols>
  <sheetData>
    <row r="2" spans="2:12">
      <c r="B2" s="4" t="s">
        <v>0</v>
      </c>
      <c r="I2" s="4" t="s">
        <v>0</v>
      </c>
    </row>
    <row r="3" spans="2:12">
      <c r="C3" s="8" t="s">
        <v>1</v>
      </c>
      <c r="D3" s="9">
        <v>120</v>
      </c>
      <c r="E3" s="9">
        <v>420</v>
      </c>
      <c r="J3" s="8" t="s">
        <v>1</v>
      </c>
      <c r="K3" s="9">
        <v>120</v>
      </c>
      <c r="L3" s="9">
        <v>420</v>
      </c>
    </row>
    <row r="4" spans="2:12">
      <c r="C4" s="8" t="s">
        <v>2</v>
      </c>
      <c r="D4" s="9">
        <f>AVERAGE(D3:E3)</f>
        <v>270</v>
      </c>
      <c r="E4" s="9"/>
      <c r="J4" s="8" t="s">
        <v>2</v>
      </c>
      <c r="K4" s="9">
        <f>AVERAGE(K3:L3)</f>
        <v>270</v>
      </c>
      <c r="L4" s="9"/>
    </row>
    <row r="5" spans="2:12">
      <c r="C5" s="8"/>
      <c r="D5" s="9"/>
      <c r="E5" s="9"/>
      <c r="J5" s="8"/>
      <c r="K5" s="9"/>
      <c r="L5" s="9"/>
    </row>
    <row r="6" spans="2:12">
      <c r="C6" s="8" t="s">
        <v>3</v>
      </c>
      <c r="D6" s="10">
        <v>3</v>
      </c>
      <c r="E6" s="9"/>
      <c r="J6" s="8" t="s">
        <v>3</v>
      </c>
      <c r="K6" s="10">
        <v>3</v>
      </c>
      <c r="L6" s="9"/>
    </row>
    <row r="7" spans="2:12">
      <c r="C7" s="8" t="s">
        <v>4</v>
      </c>
      <c r="D7" s="9" t="s">
        <v>5</v>
      </c>
      <c r="E7" s="9"/>
      <c r="J7" s="8" t="s">
        <v>4</v>
      </c>
      <c r="K7" s="9" t="s">
        <v>5</v>
      </c>
      <c r="L7" s="9"/>
    </row>
    <row r="8" spans="2:12">
      <c r="C8" s="8" t="s">
        <v>6</v>
      </c>
      <c r="D8" s="9">
        <v>0.5</v>
      </c>
      <c r="E8" s="9" t="s">
        <v>7</v>
      </c>
      <c r="J8" s="8" t="s">
        <v>6</v>
      </c>
      <c r="K8" s="9">
        <v>0.5</v>
      </c>
      <c r="L8" s="9" t="s">
        <v>7</v>
      </c>
    </row>
    <row r="9" spans="2:12">
      <c r="C9" s="8" t="s">
        <v>8</v>
      </c>
      <c r="D9" s="11">
        <v>0.5</v>
      </c>
      <c r="E9" s="9" t="s">
        <v>9</v>
      </c>
      <c r="J9" s="8" t="s">
        <v>8</v>
      </c>
      <c r="K9" s="11">
        <v>0.5</v>
      </c>
      <c r="L9" s="9" t="s">
        <v>9</v>
      </c>
    </row>
    <row r="10" spans="2:12">
      <c r="C10" s="8" t="s">
        <v>10</v>
      </c>
      <c r="D10" s="10">
        <v>20</v>
      </c>
      <c r="E10" s="9" t="s">
        <v>11</v>
      </c>
      <c r="J10" s="8" t="s">
        <v>10</v>
      </c>
      <c r="K10" s="10">
        <v>20</v>
      </c>
      <c r="L10" s="9" t="s">
        <v>11</v>
      </c>
    </row>
    <row r="11" spans="2:12">
      <c r="C11" s="8" t="s">
        <v>12</v>
      </c>
      <c r="D11" s="10">
        <v>40000</v>
      </c>
      <c r="J11" s="8" t="s">
        <v>12</v>
      </c>
      <c r="K11" s="10">
        <v>40000</v>
      </c>
    </row>
    <row r="15" spans="2:12" ht="18.75">
      <c r="B15" s="8"/>
      <c r="E15" s="13"/>
      <c r="I15" s="8"/>
      <c r="L15" s="13"/>
    </row>
    <row r="16" spans="2:12" ht="18.75">
      <c r="B16" s="8"/>
      <c r="C16" s="6"/>
      <c r="E16" s="13"/>
      <c r="I16" s="8"/>
      <c r="J16" s="6"/>
      <c r="L16" s="13"/>
    </row>
    <row r="17" spans="2:14" ht="18.75">
      <c r="B17" s="8"/>
      <c r="D17" s="12"/>
      <c r="E17" s="13"/>
      <c r="F17" s="12"/>
      <c r="I17" s="8"/>
      <c r="K17" s="12"/>
      <c r="L17" s="13"/>
    </row>
    <row r="18" spans="2:14" ht="18.75">
      <c r="E18" s="13"/>
      <c r="L18" s="13"/>
    </row>
    <row r="19" spans="2:14" ht="18.75">
      <c r="E19" s="13"/>
      <c r="L19" s="13"/>
    </row>
    <row r="20" spans="2:14" ht="18.75">
      <c r="B20" s="4" t="s">
        <v>20</v>
      </c>
      <c r="D20" s="4" t="s">
        <v>27</v>
      </c>
      <c r="E20" s="13"/>
      <c r="I20" s="4" t="s">
        <v>13</v>
      </c>
      <c r="K20" s="4" t="s">
        <v>27</v>
      </c>
      <c r="L20" s="13"/>
    </row>
    <row r="21" spans="2:14" ht="18.75">
      <c r="B21" s="8" t="s">
        <v>14</v>
      </c>
      <c r="C21" s="4" t="s">
        <v>15</v>
      </c>
      <c r="D21" s="4">
        <f>3-0.5*3+0.5</f>
        <v>2</v>
      </c>
      <c r="E21" s="13"/>
      <c r="I21" s="8" t="s">
        <v>14</v>
      </c>
      <c r="J21" s="4" t="s">
        <v>15</v>
      </c>
      <c r="K21" s="4">
        <f>3-0.5*3+0.5</f>
        <v>2</v>
      </c>
      <c r="L21" s="13"/>
    </row>
    <row r="22" spans="2:14">
      <c r="B22" s="8" t="s">
        <v>16</v>
      </c>
      <c r="C22" s="6" t="s">
        <v>21</v>
      </c>
      <c r="D22" s="4">
        <f>6-3</f>
        <v>3</v>
      </c>
      <c r="I22" s="8" t="s">
        <v>16</v>
      </c>
      <c r="J22" s="6" t="s">
        <v>17</v>
      </c>
      <c r="K22" s="4">
        <f>5-3</f>
        <v>2</v>
      </c>
    </row>
    <row r="23" spans="2:14">
      <c r="B23" s="8" t="s">
        <v>18</v>
      </c>
      <c r="C23" s="4" t="s">
        <v>19</v>
      </c>
      <c r="D23" s="12">
        <f>D22/(D22+D21)</f>
        <v>0.6</v>
      </c>
      <c r="F23" s="12"/>
      <c r="I23" s="8" t="s">
        <v>18</v>
      </c>
      <c r="J23" s="4" t="s">
        <v>19</v>
      </c>
      <c r="K23" s="12">
        <f>K22/(K22+K21)</f>
        <v>0.5</v>
      </c>
    </row>
    <row r="25" spans="2:14">
      <c r="B25" s="4" t="s">
        <v>22</v>
      </c>
      <c r="D25" s="7">
        <f>D23*(E3-D3)+D3</f>
        <v>300</v>
      </c>
      <c r="F25" s="7"/>
      <c r="I25" s="4" t="s">
        <v>22</v>
      </c>
      <c r="K25" s="7">
        <f>K23*(L3-K3)+K3</f>
        <v>270</v>
      </c>
    </row>
    <row r="26" spans="2:14">
      <c r="B26" s="8" t="s">
        <v>90</v>
      </c>
      <c r="G26" s="4">
        <f>(300^2-120^2)/(2*300)+((420-300)*300)/300</f>
        <v>246</v>
      </c>
      <c r="I26" s="8" t="s">
        <v>90</v>
      </c>
      <c r="N26" s="4">
        <f>(270^2-120^2)/(2*300)+((420-270)*270)/300</f>
        <v>232.5</v>
      </c>
    </row>
    <row r="27" spans="2:14">
      <c r="B27" s="8" t="s">
        <v>91</v>
      </c>
      <c r="C27" s="4">
        <f>D25-G26</f>
        <v>54</v>
      </c>
      <c r="D27" s="4" t="s">
        <v>180</v>
      </c>
      <c r="E27" s="4" t="s">
        <v>92</v>
      </c>
      <c r="G27" s="4">
        <f>$G26*6</f>
        <v>1476</v>
      </c>
      <c r="I27" s="8" t="s">
        <v>91</v>
      </c>
      <c r="J27" s="4">
        <f>K25-N26</f>
        <v>37.5</v>
      </c>
      <c r="K27" s="4" t="s">
        <v>180</v>
      </c>
      <c r="L27" s="4" t="s">
        <v>92</v>
      </c>
      <c r="N27" s="4">
        <f>$N26*5</f>
        <v>1162.5</v>
      </c>
    </row>
    <row r="28" spans="2:14">
      <c r="D28" s="4" t="s">
        <v>181</v>
      </c>
      <c r="E28" s="4" t="s">
        <v>93</v>
      </c>
      <c r="G28" s="5">
        <f>C27*$D$6*$D$8</f>
        <v>81</v>
      </c>
      <c r="K28" s="4" t="s">
        <v>181</v>
      </c>
      <c r="L28" s="4" t="s">
        <v>93</v>
      </c>
      <c r="N28" s="5">
        <f>J27*$D$6*$D$8</f>
        <v>56.25</v>
      </c>
    </row>
    <row r="29" spans="2:14">
      <c r="D29" s="4" t="s">
        <v>182</v>
      </c>
      <c r="E29" s="4" t="s">
        <v>94</v>
      </c>
      <c r="G29" s="5">
        <f>C27*$D$9*-1</f>
        <v>-27</v>
      </c>
      <c r="K29" s="4" t="s">
        <v>182</v>
      </c>
      <c r="L29" s="4" t="s">
        <v>94</v>
      </c>
      <c r="N29" s="5">
        <f>J27*$D$9*-1</f>
        <v>-18.75</v>
      </c>
    </row>
    <row r="30" spans="2:14">
      <c r="D30" s="4" t="s">
        <v>183</v>
      </c>
      <c r="E30" s="4" t="s">
        <v>95</v>
      </c>
      <c r="G30" s="44">
        <f>$D$10*-1</f>
        <v>-20</v>
      </c>
      <c r="K30" s="4" t="s">
        <v>183</v>
      </c>
      <c r="L30" s="4" t="s">
        <v>95</v>
      </c>
      <c r="N30" s="44">
        <f>$D$10*-1</f>
        <v>-20</v>
      </c>
    </row>
    <row r="31" spans="2:14">
      <c r="D31" s="4" t="s">
        <v>184</v>
      </c>
      <c r="E31" s="4" t="s">
        <v>97</v>
      </c>
      <c r="G31" s="44">
        <f>-1*D25*D6</f>
        <v>-900</v>
      </c>
      <c r="K31" s="4" t="s">
        <v>184</v>
      </c>
      <c r="L31" s="4" t="s">
        <v>97</v>
      </c>
      <c r="N31" s="44">
        <f>-1*K25*K6</f>
        <v>-810</v>
      </c>
    </row>
    <row r="32" spans="2:14">
      <c r="F32" s="8" t="s">
        <v>96</v>
      </c>
      <c r="G32" s="4" t="s">
        <v>185</v>
      </c>
      <c r="M32" s="8" t="s">
        <v>96</v>
      </c>
      <c r="N32" s="4" t="s">
        <v>185</v>
      </c>
    </row>
    <row r="33" spans="1:14">
      <c r="F33" s="64" t="s">
        <v>142</v>
      </c>
      <c r="G33" s="14">
        <f>G30+G29+G28+G27+G31</f>
        <v>610</v>
      </c>
      <c r="M33" s="64" t="s">
        <v>142</v>
      </c>
      <c r="N33" s="14">
        <f>N30+N29+N28+N27+N31</f>
        <v>370</v>
      </c>
    </row>
    <row r="34" spans="1:14">
      <c r="J34" s="14"/>
    </row>
    <row r="36" spans="1:14">
      <c r="A36" s="65" t="s">
        <v>187</v>
      </c>
    </row>
  </sheetData>
  <sheetProtection sheet="1" objects="1" scenario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3F3A-ECC8-1A42-A893-DCA273BB4BB2}">
  <sheetPr codeName="Sheet4"/>
  <dimension ref="B2:S543"/>
  <sheetViews>
    <sheetView tabSelected="1" topLeftCell="A473" zoomScale="75" workbookViewId="0">
      <selection activeCell="U506" sqref="U506"/>
    </sheetView>
  </sheetViews>
  <sheetFormatPr defaultColWidth="10.875" defaultRowHeight="18"/>
  <cols>
    <col min="1" max="1" width="10.875" style="4"/>
    <col min="2" max="3" width="22.375" style="4" customWidth="1"/>
    <col min="4" max="8" width="10.875" style="4"/>
    <col min="9" max="10" width="10.875" style="15"/>
    <col min="11" max="11" width="14.875" style="15" customWidth="1"/>
    <col min="12" max="12" width="15.625" style="15" bestFit="1" customWidth="1"/>
    <col min="13" max="13" width="12" style="15" bestFit="1" customWidth="1"/>
    <col min="14" max="14" width="11.125" style="15" bestFit="1" customWidth="1"/>
    <col min="15" max="15" width="10.875" style="15"/>
    <col min="16" max="16" width="14.625" style="15" bestFit="1" customWidth="1"/>
    <col min="17" max="17" width="13.125" style="15" customWidth="1"/>
    <col min="18" max="18" width="11.625" style="15" customWidth="1"/>
    <col min="19" max="19" width="14" style="15" bestFit="1" customWidth="1"/>
    <col min="20" max="16384" width="10.875" style="4"/>
  </cols>
  <sheetData>
    <row r="2" spans="2:19">
      <c r="B2" s="4" t="s">
        <v>0</v>
      </c>
    </row>
    <row r="3" spans="2:19">
      <c r="C3" s="8" t="s">
        <v>1</v>
      </c>
      <c r="D3" s="9">
        <v>120</v>
      </c>
      <c r="E3" s="9">
        <v>420</v>
      </c>
    </row>
    <row r="4" spans="2:19">
      <c r="C4" s="8" t="s">
        <v>2</v>
      </c>
      <c r="D4" s="9">
        <f>AVERAGE(D3:E3)</f>
        <v>270</v>
      </c>
      <c r="E4" s="9"/>
      <c r="I4" s="21" t="s">
        <v>38</v>
      </c>
      <c r="J4" s="21" t="s">
        <v>37</v>
      </c>
      <c r="K4" s="21" t="s">
        <v>29</v>
      </c>
      <c r="L4" s="21" t="s">
        <v>30</v>
      </c>
      <c r="M4" s="21" t="s">
        <v>31</v>
      </c>
      <c r="N4" s="21" t="s">
        <v>32</v>
      </c>
      <c r="O4" s="21" t="s">
        <v>33</v>
      </c>
      <c r="P4" s="21" t="s">
        <v>34</v>
      </c>
      <c r="Q4" s="21" t="s">
        <v>35</v>
      </c>
      <c r="R4" s="21" t="s">
        <v>36</v>
      </c>
      <c r="S4" s="21" t="s">
        <v>41</v>
      </c>
    </row>
    <row r="5" spans="2:19">
      <c r="C5" s="8"/>
      <c r="D5" s="9"/>
      <c r="E5" s="9"/>
      <c r="I5" s="15">
        <v>1</v>
      </c>
      <c r="J5" s="16">
        <f ca="1">RANDBETWEEN(120,420)</f>
        <v>127</v>
      </c>
      <c r="K5" s="16">
        <f ca="1">IF(J5&gt;=$D$18,$D$18,J5)</f>
        <v>127</v>
      </c>
      <c r="L5" s="16">
        <f ca="1">$D$18-K5</f>
        <v>143</v>
      </c>
      <c r="M5" s="17">
        <f ca="1">K5*5</f>
        <v>635</v>
      </c>
      <c r="N5" s="17">
        <f>-$D$10</f>
        <v>-20</v>
      </c>
      <c r="O5" s="17">
        <f>-$D$6*$D$18</f>
        <v>-810</v>
      </c>
      <c r="P5" s="18">
        <f ca="1">-L5*$D$9</f>
        <v>-71.5</v>
      </c>
      <c r="Q5" s="18">
        <f ca="1">L5*($D$6*$D$8)</f>
        <v>214.5</v>
      </c>
      <c r="R5" s="19">
        <f ca="1">SUM(M5:Q5)</f>
        <v>-52</v>
      </c>
      <c r="S5" s="15">
        <f ca="1">IF(R5&lt;0,1,0)</f>
        <v>1</v>
      </c>
    </row>
    <row r="6" spans="2:19">
      <c r="C6" s="8" t="s">
        <v>3</v>
      </c>
      <c r="D6" s="10">
        <v>3</v>
      </c>
      <c r="E6" s="9"/>
      <c r="I6" s="15">
        <f>I5+1</f>
        <v>2</v>
      </c>
      <c r="J6" s="16">
        <f t="shared" ref="J6:J69" ca="1" si="0">RANDBETWEEN(120,420)</f>
        <v>417</v>
      </c>
      <c r="K6" s="16">
        <f t="shared" ref="K6:K69" ca="1" si="1">IF(J6&gt;=$D$18,$D$18,J6)</f>
        <v>270</v>
      </c>
      <c r="L6" s="16">
        <f t="shared" ref="L6:L69" ca="1" si="2">$D$18-K6</f>
        <v>0</v>
      </c>
      <c r="M6" s="17">
        <f t="shared" ref="M6:M69" ca="1" si="3">K6*5</f>
        <v>1350</v>
      </c>
      <c r="N6" s="17">
        <f t="shared" ref="N6:N69" si="4">-$D$10</f>
        <v>-20</v>
      </c>
      <c r="O6" s="17">
        <f t="shared" ref="O6:O69" si="5">-$D$6*$D$18</f>
        <v>-810</v>
      </c>
      <c r="P6" s="18">
        <f t="shared" ref="P6:P69" ca="1" si="6">-L6*$D$9</f>
        <v>0</v>
      </c>
      <c r="Q6" s="18">
        <f t="shared" ref="Q6:Q69" ca="1" si="7">L6*($D$6*$D$8)</f>
        <v>0</v>
      </c>
      <c r="R6" s="19">
        <f t="shared" ref="R6:R69" ca="1" si="8">SUM(M6:Q6)</f>
        <v>520</v>
      </c>
      <c r="S6" s="15">
        <f t="shared" ref="S6:S69" ca="1" si="9">IF(R6&lt;0,1,0)</f>
        <v>0</v>
      </c>
    </row>
    <row r="7" spans="2:19">
      <c r="C7" s="8" t="s">
        <v>4</v>
      </c>
      <c r="D7" s="9" t="s">
        <v>5</v>
      </c>
      <c r="E7" s="9"/>
      <c r="I7" s="15">
        <f t="shared" ref="I7:I70" si="10">I6+1</f>
        <v>3</v>
      </c>
      <c r="J7" s="16">
        <f t="shared" ca="1" si="0"/>
        <v>274</v>
      </c>
      <c r="K7" s="16">
        <f t="shared" ca="1" si="1"/>
        <v>270</v>
      </c>
      <c r="L7" s="16">
        <f t="shared" ca="1" si="2"/>
        <v>0</v>
      </c>
      <c r="M7" s="17">
        <f t="shared" ca="1" si="3"/>
        <v>1350</v>
      </c>
      <c r="N7" s="17">
        <f t="shared" si="4"/>
        <v>-20</v>
      </c>
      <c r="O7" s="17">
        <f t="shared" si="5"/>
        <v>-810</v>
      </c>
      <c r="P7" s="18">
        <f t="shared" ca="1" si="6"/>
        <v>0</v>
      </c>
      <c r="Q7" s="18">
        <f t="shared" ca="1" si="7"/>
        <v>0</v>
      </c>
      <c r="R7" s="19">
        <f t="shared" ca="1" si="8"/>
        <v>520</v>
      </c>
      <c r="S7" s="15">
        <f t="shared" ca="1" si="9"/>
        <v>0</v>
      </c>
    </row>
    <row r="8" spans="2:19">
      <c r="C8" s="8" t="s">
        <v>6</v>
      </c>
      <c r="D8" s="9">
        <v>0.5</v>
      </c>
      <c r="E8" s="9" t="s">
        <v>7</v>
      </c>
      <c r="I8" s="15">
        <f t="shared" si="10"/>
        <v>4</v>
      </c>
      <c r="J8" s="16">
        <f t="shared" ca="1" si="0"/>
        <v>410</v>
      </c>
      <c r="K8" s="16">
        <f t="shared" ca="1" si="1"/>
        <v>270</v>
      </c>
      <c r="L8" s="16">
        <f t="shared" ca="1" si="2"/>
        <v>0</v>
      </c>
      <c r="M8" s="17">
        <f ca="1">K8*5</f>
        <v>1350</v>
      </c>
      <c r="N8" s="17">
        <f t="shared" si="4"/>
        <v>-20</v>
      </c>
      <c r="O8" s="17">
        <f t="shared" si="5"/>
        <v>-810</v>
      </c>
      <c r="P8" s="18">
        <f t="shared" ca="1" si="6"/>
        <v>0</v>
      </c>
      <c r="Q8" s="18">
        <f t="shared" ca="1" si="7"/>
        <v>0</v>
      </c>
      <c r="R8" s="19">
        <f t="shared" ca="1" si="8"/>
        <v>520</v>
      </c>
      <c r="S8" s="15">
        <f t="shared" ca="1" si="9"/>
        <v>0</v>
      </c>
    </row>
    <row r="9" spans="2:19">
      <c r="C9" s="8" t="s">
        <v>8</v>
      </c>
      <c r="D9" s="11">
        <v>0.5</v>
      </c>
      <c r="E9" s="9" t="s">
        <v>9</v>
      </c>
      <c r="I9" s="15">
        <f t="shared" si="10"/>
        <v>5</v>
      </c>
      <c r="J9" s="16">
        <f t="shared" ca="1" si="0"/>
        <v>305</v>
      </c>
      <c r="K9" s="16">
        <f t="shared" ca="1" si="1"/>
        <v>270</v>
      </c>
      <c r="L9" s="16">
        <f t="shared" ca="1" si="2"/>
        <v>0</v>
      </c>
      <c r="M9" s="17">
        <f t="shared" ca="1" si="3"/>
        <v>1350</v>
      </c>
      <c r="N9" s="17">
        <f t="shared" si="4"/>
        <v>-20</v>
      </c>
      <c r="O9" s="17">
        <f t="shared" si="5"/>
        <v>-810</v>
      </c>
      <c r="P9" s="18">
        <f t="shared" ca="1" si="6"/>
        <v>0</v>
      </c>
      <c r="Q9" s="18">
        <f t="shared" ca="1" si="7"/>
        <v>0</v>
      </c>
      <c r="R9" s="19">
        <f t="shared" ca="1" si="8"/>
        <v>520</v>
      </c>
      <c r="S9" s="15">
        <f t="shared" ca="1" si="9"/>
        <v>0</v>
      </c>
    </row>
    <row r="10" spans="2:19">
      <c r="C10" s="8" t="s">
        <v>10</v>
      </c>
      <c r="D10" s="10">
        <v>20</v>
      </c>
      <c r="E10" s="9" t="s">
        <v>11</v>
      </c>
      <c r="I10" s="15">
        <f t="shared" si="10"/>
        <v>6</v>
      </c>
      <c r="J10" s="16">
        <f t="shared" ca="1" si="0"/>
        <v>201</v>
      </c>
      <c r="K10" s="16">
        <f t="shared" ca="1" si="1"/>
        <v>201</v>
      </c>
      <c r="L10" s="16">
        <f t="shared" ca="1" si="2"/>
        <v>69</v>
      </c>
      <c r="M10" s="17">
        <f t="shared" ca="1" si="3"/>
        <v>1005</v>
      </c>
      <c r="N10" s="17">
        <f t="shared" si="4"/>
        <v>-20</v>
      </c>
      <c r="O10" s="17">
        <f t="shared" si="5"/>
        <v>-810</v>
      </c>
      <c r="P10" s="18">
        <f t="shared" ca="1" si="6"/>
        <v>-34.5</v>
      </c>
      <c r="Q10" s="18">
        <f t="shared" ca="1" si="7"/>
        <v>103.5</v>
      </c>
      <c r="R10" s="19">
        <f t="shared" ca="1" si="8"/>
        <v>244</v>
      </c>
      <c r="S10" s="15">
        <f t="shared" ca="1" si="9"/>
        <v>0</v>
      </c>
    </row>
    <row r="11" spans="2:19">
      <c r="C11" s="8" t="s">
        <v>12</v>
      </c>
      <c r="D11" s="10">
        <v>40000</v>
      </c>
      <c r="I11" s="15">
        <f t="shared" si="10"/>
        <v>7</v>
      </c>
      <c r="J11" s="16">
        <f t="shared" ca="1" si="0"/>
        <v>356</v>
      </c>
      <c r="K11" s="16">
        <f t="shared" ca="1" si="1"/>
        <v>270</v>
      </c>
      <c r="L11" s="16">
        <f t="shared" ca="1" si="2"/>
        <v>0</v>
      </c>
      <c r="M11" s="17">
        <f t="shared" ca="1" si="3"/>
        <v>1350</v>
      </c>
      <c r="N11" s="17">
        <f t="shared" si="4"/>
        <v>-20</v>
      </c>
      <c r="O11" s="17">
        <f t="shared" si="5"/>
        <v>-810</v>
      </c>
      <c r="P11" s="18">
        <f t="shared" ca="1" si="6"/>
        <v>0</v>
      </c>
      <c r="Q11" s="18">
        <f t="shared" ca="1" si="7"/>
        <v>0</v>
      </c>
      <c r="R11" s="19">
        <f t="shared" ca="1" si="8"/>
        <v>520</v>
      </c>
      <c r="S11" s="15">
        <f t="shared" ca="1" si="9"/>
        <v>0</v>
      </c>
    </row>
    <row r="12" spans="2:19" ht="18.75">
      <c r="E12" s="13"/>
      <c r="I12" s="15">
        <f t="shared" si="10"/>
        <v>8</v>
      </c>
      <c r="J12" s="16">
        <f t="shared" ca="1" si="0"/>
        <v>242</v>
      </c>
      <c r="K12" s="16">
        <f t="shared" ca="1" si="1"/>
        <v>242</v>
      </c>
      <c r="L12" s="16">
        <f t="shared" ca="1" si="2"/>
        <v>28</v>
      </c>
      <c r="M12" s="17">
        <f t="shared" ca="1" si="3"/>
        <v>1210</v>
      </c>
      <c r="N12" s="17">
        <f t="shared" si="4"/>
        <v>-20</v>
      </c>
      <c r="O12" s="17">
        <f t="shared" si="5"/>
        <v>-810</v>
      </c>
      <c r="P12" s="18">
        <f t="shared" ca="1" si="6"/>
        <v>-14</v>
      </c>
      <c r="Q12" s="18">
        <f t="shared" ca="1" si="7"/>
        <v>42</v>
      </c>
      <c r="R12" s="19">
        <f t="shared" ca="1" si="8"/>
        <v>408</v>
      </c>
      <c r="S12" s="15">
        <f t="shared" ca="1" si="9"/>
        <v>0</v>
      </c>
    </row>
    <row r="13" spans="2:19" ht="18.75">
      <c r="B13" s="4" t="s">
        <v>13</v>
      </c>
      <c r="D13" s="4" t="s">
        <v>27</v>
      </c>
      <c r="E13" s="13"/>
      <c r="I13" s="15">
        <f t="shared" si="10"/>
        <v>9</v>
      </c>
      <c r="J13" s="16">
        <f t="shared" ca="1" si="0"/>
        <v>293</v>
      </c>
      <c r="K13" s="16">
        <f t="shared" ca="1" si="1"/>
        <v>270</v>
      </c>
      <c r="L13" s="16">
        <f t="shared" ca="1" si="2"/>
        <v>0</v>
      </c>
      <c r="M13" s="17">
        <f t="shared" ca="1" si="3"/>
        <v>1350</v>
      </c>
      <c r="N13" s="17">
        <f t="shared" si="4"/>
        <v>-20</v>
      </c>
      <c r="O13" s="17">
        <f t="shared" si="5"/>
        <v>-810</v>
      </c>
      <c r="P13" s="18">
        <f t="shared" ca="1" si="6"/>
        <v>0</v>
      </c>
      <c r="Q13" s="18">
        <f t="shared" ca="1" si="7"/>
        <v>0</v>
      </c>
      <c r="R13" s="19">
        <f t="shared" ca="1" si="8"/>
        <v>520</v>
      </c>
      <c r="S13" s="15">
        <f t="shared" ca="1" si="9"/>
        <v>0</v>
      </c>
    </row>
    <row r="14" spans="2:19" ht="18.75">
      <c r="B14" s="8" t="s">
        <v>14</v>
      </c>
      <c r="C14" s="4" t="s">
        <v>15</v>
      </c>
      <c r="D14" s="4">
        <f>3-0.5*3+0.5</f>
        <v>2</v>
      </c>
      <c r="E14" s="13"/>
      <c r="I14" s="15">
        <f t="shared" si="10"/>
        <v>10</v>
      </c>
      <c r="J14" s="16">
        <f t="shared" ca="1" si="0"/>
        <v>273</v>
      </c>
      <c r="K14" s="16">
        <f t="shared" ca="1" si="1"/>
        <v>270</v>
      </c>
      <c r="L14" s="16">
        <f t="shared" ca="1" si="2"/>
        <v>0</v>
      </c>
      <c r="M14" s="17">
        <f t="shared" ca="1" si="3"/>
        <v>1350</v>
      </c>
      <c r="N14" s="17">
        <f t="shared" si="4"/>
        <v>-20</v>
      </c>
      <c r="O14" s="17">
        <f t="shared" si="5"/>
        <v>-810</v>
      </c>
      <c r="P14" s="18">
        <f t="shared" ca="1" si="6"/>
        <v>0</v>
      </c>
      <c r="Q14" s="18">
        <f t="shared" ca="1" si="7"/>
        <v>0</v>
      </c>
      <c r="R14" s="19">
        <f t="shared" ca="1" si="8"/>
        <v>520</v>
      </c>
      <c r="S14" s="15">
        <f t="shared" ca="1" si="9"/>
        <v>0</v>
      </c>
    </row>
    <row r="15" spans="2:19">
      <c r="B15" s="8" t="s">
        <v>16</v>
      </c>
      <c r="C15" s="6" t="s">
        <v>17</v>
      </c>
      <c r="D15" s="4">
        <f>5-3</f>
        <v>2</v>
      </c>
      <c r="I15" s="15">
        <f t="shared" si="10"/>
        <v>11</v>
      </c>
      <c r="J15" s="16">
        <f t="shared" ca="1" si="0"/>
        <v>322</v>
      </c>
      <c r="K15" s="16">
        <f t="shared" ca="1" si="1"/>
        <v>270</v>
      </c>
      <c r="L15" s="16">
        <f t="shared" ca="1" si="2"/>
        <v>0</v>
      </c>
      <c r="M15" s="17">
        <f t="shared" ca="1" si="3"/>
        <v>1350</v>
      </c>
      <c r="N15" s="17">
        <f t="shared" si="4"/>
        <v>-20</v>
      </c>
      <c r="O15" s="17">
        <f t="shared" si="5"/>
        <v>-810</v>
      </c>
      <c r="P15" s="18">
        <f t="shared" ca="1" si="6"/>
        <v>0</v>
      </c>
      <c r="Q15" s="18">
        <f t="shared" ca="1" si="7"/>
        <v>0</v>
      </c>
      <c r="R15" s="19">
        <f t="shared" ca="1" si="8"/>
        <v>520</v>
      </c>
      <c r="S15" s="15">
        <f t="shared" ca="1" si="9"/>
        <v>0</v>
      </c>
    </row>
    <row r="16" spans="2:19">
      <c r="B16" s="8" t="s">
        <v>18</v>
      </c>
      <c r="C16" s="4" t="s">
        <v>19</v>
      </c>
      <c r="D16" s="12">
        <f>D15/(D15+D14)</f>
        <v>0.5</v>
      </c>
      <c r="I16" s="15">
        <f t="shared" si="10"/>
        <v>12</v>
      </c>
      <c r="J16" s="16">
        <f t="shared" ca="1" si="0"/>
        <v>379</v>
      </c>
      <c r="K16" s="16">
        <f t="shared" ca="1" si="1"/>
        <v>270</v>
      </c>
      <c r="L16" s="16">
        <f t="shared" ca="1" si="2"/>
        <v>0</v>
      </c>
      <c r="M16" s="17">
        <f t="shared" ca="1" si="3"/>
        <v>1350</v>
      </c>
      <c r="N16" s="17">
        <f t="shared" si="4"/>
        <v>-20</v>
      </c>
      <c r="O16" s="17">
        <f t="shared" si="5"/>
        <v>-810</v>
      </c>
      <c r="P16" s="18">
        <f t="shared" ca="1" si="6"/>
        <v>0</v>
      </c>
      <c r="Q16" s="18">
        <f t="shared" ca="1" si="7"/>
        <v>0</v>
      </c>
      <c r="R16" s="19">
        <f t="shared" ca="1" si="8"/>
        <v>520</v>
      </c>
      <c r="S16" s="15">
        <f t="shared" ca="1" si="9"/>
        <v>0</v>
      </c>
    </row>
    <row r="17" spans="2:19">
      <c r="I17" s="15">
        <f t="shared" si="10"/>
        <v>13</v>
      </c>
      <c r="J17" s="16">
        <f t="shared" ca="1" si="0"/>
        <v>140</v>
      </c>
      <c r="K17" s="16">
        <f t="shared" ca="1" si="1"/>
        <v>140</v>
      </c>
      <c r="L17" s="16">
        <f t="shared" ca="1" si="2"/>
        <v>130</v>
      </c>
      <c r="M17" s="17">
        <f t="shared" ca="1" si="3"/>
        <v>700</v>
      </c>
      <c r="N17" s="17">
        <f t="shared" si="4"/>
        <v>-20</v>
      </c>
      <c r="O17" s="17">
        <f t="shared" si="5"/>
        <v>-810</v>
      </c>
      <c r="P17" s="18">
        <f t="shared" ca="1" si="6"/>
        <v>-65</v>
      </c>
      <c r="Q17" s="18">
        <f t="shared" ca="1" si="7"/>
        <v>195</v>
      </c>
      <c r="R17" s="19">
        <f t="shared" ca="1" si="8"/>
        <v>0</v>
      </c>
      <c r="S17" s="15">
        <f t="shared" ca="1" si="9"/>
        <v>0</v>
      </c>
    </row>
    <row r="18" spans="2:19">
      <c r="B18" s="4" t="s">
        <v>22</v>
      </c>
      <c r="D18" s="7">
        <f>D16*(E3-D3)+D3</f>
        <v>270</v>
      </c>
      <c r="I18" s="15">
        <f t="shared" si="10"/>
        <v>14</v>
      </c>
      <c r="J18" s="16">
        <f t="shared" ca="1" si="0"/>
        <v>184</v>
      </c>
      <c r="K18" s="16">
        <f t="shared" ca="1" si="1"/>
        <v>184</v>
      </c>
      <c r="L18" s="16">
        <f t="shared" ca="1" si="2"/>
        <v>86</v>
      </c>
      <c r="M18" s="17">
        <f t="shared" ca="1" si="3"/>
        <v>920</v>
      </c>
      <c r="N18" s="17">
        <f t="shared" si="4"/>
        <v>-20</v>
      </c>
      <c r="O18" s="17">
        <f t="shared" si="5"/>
        <v>-810</v>
      </c>
      <c r="P18" s="18">
        <f t="shared" ca="1" si="6"/>
        <v>-43</v>
      </c>
      <c r="Q18" s="18">
        <f t="shared" ca="1" si="7"/>
        <v>129</v>
      </c>
      <c r="R18" s="19">
        <f t="shared" ca="1" si="8"/>
        <v>176</v>
      </c>
      <c r="S18" s="15">
        <f t="shared" ca="1" si="9"/>
        <v>0</v>
      </c>
    </row>
    <row r="19" spans="2:19">
      <c r="I19" s="15">
        <f t="shared" si="10"/>
        <v>15</v>
      </c>
      <c r="J19" s="16">
        <f t="shared" ca="1" si="0"/>
        <v>174</v>
      </c>
      <c r="K19" s="16">
        <f t="shared" ca="1" si="1"/>
        <v>174</v>
      </c>
      <c r="L19" s="16">
        <f t="shared" ca="1" si="2"/>
        <v>96</v>
      </c>
      <c r="M19" s="17">
        <f t="shared" ca="1" si="3"/>
        <v>870</v>
      </c>
      <c r="N19" s="17">
        <f t="shared" si="4"/>
        <v>-20</v>
      </c>
      <c r="O19" s="17">
        <f t="shared" si="5"/>
        <v>-810</v>
      </c>
      <c r="P19" s="18">
        <f t="shared" ca="1" si="6"/>
        <v>-48</v>
      </c>
      <c r="Q19" s="18">
        <f t="shared" ca="1" si="7"/>
        <v>144</v>
      </c>
      <c r="R19" s="19">
        <f t="shared" ca="1" si="8"/>
        <v>136</v>
      </c>
      <c r="S19" s="15">
        <f t="shared" ca="1" si="9"/>
        <v>0</v>
      </c>
    </row>
    <row r="20" spans="2:19">
      <c r="I20" s="15">
        <f t="shared" si="10"/>
        <v>16</v>
      </c>
      <c r="J20" s="16">
        <f t="shared" ca="1" si="0"/>
        <v>273</v>
      </c>
      <c r="K20" s="16">
        <f t="shared" ca="1" si="1"/>
        <v>270</v>
      </c>
      <c r="L20" s="16">
        <f t="shared" ca="1" si="2"/>
        <v>0</v>
      </c>
      <c r="M20" s="17">
        <f t="shared" ca="1" si="3"/>
        <v>1350</v>
      </c>
      <c r="N20" s="17">
        <f t="shared" si="4"/>
        <v>-20</v>
      </c>
      <c r="O20" s="17">
        <f t="shared" si="5"/>
        <v>-810</v>
      </c>
      <c r="P20" s="18">
        <f t="shared" ca="1" si="6"/>
        <v>0</v>
      </c>
      <c r="Q20" s="18">
        <f t="shared" ca="1" si="7"/>
        <v>0</v>
      </c>
      <c r="R20" s="19">
        <f t="shared" ca="1" si="8"/>
        <v>520</v>
      </c>
      <c r="S20" s="15">
        <f t="shared" ca="1" si="9"/>
        <v>0</v>
      </c>
    </row>
    <row r="21" spans="2:19">
      <c r="B21" s="8"/>
      <c r="I21" s="15">
        <f t="shared" si="10"/>
        <v>17</v>
      </c>
      <c r="J21" s="16">
        <f t="shared" ca="1" si="0"/>
        <v>329</v>
      </c>
      <c r="K21" s="16">
        <f t="shared" ca="1" si="1"/>
        <v>270</v>
      </c>
      <c r="L21" s="16">
        <f t="shared" ca="1" si="2"/>
        <v>0</v>
      </c>
      <c r="M21" s="17">
        <f t="shared" ca="1" si="3"/>
        <v>1350</v>
      </c>
      <c r="N21" s="17">
        <f t="shared" si="4"/>
        <v>-20</v>
      </c>
      <c r="O21" s="17">
        <f t="shared" si="5"/>
        <v>-810</v>
      </c>
      <c r="P21" s="18">
        <f t="shared" ca="1" si="6"/>
        <v>0</v>
      </c>
      <c r="Q21" s="18">
        <f t="shared" ca="1" si="7"/>
        <v>0</v>
      </c>
      <c r="R21" s="19">
        <f t="shared" ca="1" si="8"/>
        <v>520</v>
      </c>
      <c r="S21" s="15">
        <f t="shared" ca="1" si="9"/>
        <v>0</v>
      </c>
    </row>
    <row r="22" spans="2:19">
      <c r="B22" s="8"/>
      <c r="I22" s="15">
        <f t="shared" si="10"/>
        <v>18</v>
      </c>
      <c r="J22" s="16">
        <f t="shared" ca="1" si="0"/>
        <v>256</v>
      </c>
      <c r="K22" s="16">
        <f t="shared" ca="1" si="1"/>
        <v>256</v>
      </c>
      <c r="L22" s="16">
        <f t="shared" ca="1" si="2"/>
        <v>14</v>
      </c>
      <c r="M22" s="17">
        <f t="shared" ca="1" si="3"/>
        <v>1280</v>
      </c>
      <c r="N22" s="17">
        <f t="shared" si="4"/>
        <v>-20</v>
      </c>
      <c r="O22" s="17">
        <f t="shared" si="5"/>
        <v>-810</v>
      </c>
      <c r="P22" s="18">
        <f t="shared" ca="1" si="6"/>
        <v>-7</v>
      </c>
      <c r="Q22" s="18">
        <f t="shared" ca="1" si="7"/>
        <v>21</v>
      </c>
      <c r="R22" s="19">
        <f t="shared" ca="1" si="8"/>
        <v>464</v>
      </c>
      <c r="S22" s="15">
        <f t="shared" ca="1" si="9"/>
        <v>0</v>
      </c>
    </row>
    <row r="23" spans="2:19">
      <c r="B23" s="8"/>
      <c r="I23" s="15">
        <f t="shared" si="10"/>
        <v>19</v>
      </c>
      <c r="J23" s="16">
        <f t="shared" ca="1" si="0"/>
        <v>175</v>
      </c>
      <c r="K23" s="16">
        <f t="shared" ca="1" si="1"/>
        <v>175</v>
      </c>
      <c r="L23" s="16">
        <f t="shared" ca="1" si="2"/>
        <v>95</v>
      </c>
      <c r="M23" s="17">
        <f t="shared" ca="1" si="3"/>
        <v>875</v>
      </c>
      <c r="N23" s="17">
        <f t="shared" si="4"/>
        <v>-20</v>
      </c>
      <c r="O23" s="17">
        <f t="shared" si="5"/>
        <v>-810</v>
      </c>
      <c r="P23" s="18">
        <f t="shared" ca="1" si="6"/>
        <v>-47.5</v>
      </c>
      <c r="Q23" s="18">
        <f t="shared" ca="1" si="7"/>
        <v>142.5</v>
      </c>
      <c r="R23" s="19">
        <f t="shared" ca="1" si="8"/>
        <v>140</v>
      </c>
      <c r="S23" s="15">
        <f t="shared" ca="1" si="9"/>
        <v>0</v>
      </c>
    </row>
    <row r="24" spans="2:19">
      <c r="B24" s="8"/>
      <c r="I24" s="15">
        <f t="shared" si="10"/>
        <v>20</v>
      </c>
      <c r="J24" s="16">
        <f t="shared" ca="1" si="0"/>
        <v>261</v>
      </c>
      <c r="K24" s="16">
        <f t="shared" ca="1" si="1"/>
        <v>261</v>
      </c>
      <c r="L24" s="16">
        <f t="shared" ca="1" si="2"/>
        <v>9</v>
      </c>
      <c r="M24" s="17">
        <f t="shared" ca="1" si="3"/>
        <v>1305</v>
      </c>
      <c r="N24" s="17">
        <f t="shared" si="4"/>
        <v>-20</v>
      </c>
      <c r="O24" s="17">
        <f t="shared" si="5"/>
        <v>-810</v>
      </c>
      <c r="P24" s="18">
        <f t="shared" ca="1" si="6"/>
        <v>-4.5</v>
      </c>
      <c r="Q24" s="18">
        <f t="shared" ca="1" si="7"/>
        <v>13.5</v>
      </c>
      <c r="R24" s="19">
        <f t="shared" ca="1" si="8"/>
        <v>484</v>
      </c>
      <c r="S24" s="15">
        <f t="shared" ca="1" si="9"/>
        <v>0</v>
      </c>
    </row>
    <row r="25" spans="2:19">
      <c r="B25" s="8"/>
      <c r="I25" s="15">
        <f t="shared" si="10"/>
        <v>21</v>
      </c>
      <c r="J25" s="16">
        <f t="shared" ca="1" si="0"/>
        <v>143</v>
      </c>
      <c r="K25" s="16">
        <f t="shared" ca="1" si="1"/>
        <v>143</v>
      </c>
      <c r="L25" s="16">
        <f t="shared" ca="1" si="2"/>
        <v>127</v>
      </c>
      <c r="M25" s="17">
        <f t="shared" ca="1" si="3"/>
        <v>715</v>
      </c>
      <c r="N25" s="17">
        <f t="shared" si="4"/>
        <v>-20</v>
      </c>
      <c r="O25" s="17">
        <f t="shared" si="5"/>
        <v>-810</v>
      </c>
      <c r="P25" s="18">
        <f t="shared" ca="1" si="6"/>
        <v>-63.5</v>
      </c>
      <c r="Q25" s="18">
        <f t="shared" ca="1" si="7"/>
        <v>190.5</v>
      </c>
      <c r="R25" s="19">
        <f t="shared" ca="1" si="8"/>
        <v>12</v>
      </c>
      <c r="S25" s="15">
        <f t="shared" ca="1" si="9"/>
        <v>0</v>
      </c>
    </row>
    <row r="26" spans="2:19">
      <c r="B26" s="8"/>
      <c r="I26" s="15">
        <f t="shared" si="10"/>
        <v>22</v>
      </c>
      <c r="J26" s="16">
        <f t="shared" ca="1" si="0"/>
        <v>185</v>
      </c>
      <c r="K26" s="16">
        <f t="shared" ca="1" si="1"/>
        <v>185</v>
      </c>
      <c r="L26" s="16">
        <f t="shared" ca="1" si="2"/>
        <v>85</v>
      </c>
      <c r="M26" s="17">
        <f t="shared" ca="1" si="3"/>
        <v>925</v>
      </c>
      <c r="N26" s="17">
        <f t="shared" si="4"/>
        <v>-20</v>
      </c>
      <c r="O26" s="17">
        <f t="shared" si="5"/>
        <v>-810</v>
      </c>
      <c r="P26" s="18">
        <f t="shared" ca="1" si="6"/>
        <v>-42.5</v>
      </c>
      <c r="Q26" s="18">
        <f t="shared" ca="1" si="7"/>
        <v>127.5</v>
      </c>
      <c r="R26" s="19">
        <f t="shared" ca="1" si="8"/>
        <v>180</v>
      </c>
      <c r="S26" s="15">
        <f t="shared" ca="1" si="9"/>
        <v>0</v>
      </c>
    </row>
    <row r="27" spans="2:19">
      <c r="B27" s="8"/>
      <c r="C27" s="7"/>
      <c r="I27" s="15">
        <f t="shared" si="10"/>
        <v>23</v>
      </c>
      <c r="J27" s="16">
        <f t="shared" ca="1" si="0"/>
        <v>180</v>
      </c>
      <c r="K27" s="16">
        <f t="shared" ca="1" si="1"/>
        <v>180</v>
      </c>
      <c r="L27" s="16">
        <f t="shared" ca="1" si="2"/>
        <v>90</v>
      </c>
      <c r="M27" s="17">
        <f t="shared" ca="1" si="3"/>
        <v>900</v>
      </c>
      <c r="N27" s="17">
        <f t="shared" si="4"/>
        <v>-20</v>
      </c>
      <c r="O27" s="17">
        <f t="shared" si="5"/>
        <v>-810</v>
      </c>
      <c r="P27" s="18">
        <f t="shared" ca="1" si="6"/>
        <v>-45</v>
      </c>
      <c r="Q27" s="18">
        <f t="shared" ca="1" si="7"/>
        <v>135</v>
      </c>
      <c r="R27" s="19">
        <f t="shared" ca="1" si="8"/>
        <v>160</v>
      </c>
      <c r="S27" s="15">
        <f t="shared" ca="1" si="9"/>
        <v>0</v>
      </c>
    </row>
    <row r="28" spans="2:19">
      <c r="I28" s="15">
        <f t="shared" si="10"/>
        <v>24</v>
      </c>
      <c r="J28" s="16">
        <f t="shared" ca="1" si="0"/>
        <v>314</v>
      </c>
      <c r="K28" s="16">
        <f t="shared" ca="1" si="1"/>
        <v>270</v>
      </c>
      <c r="L28" s="16">
        <f t="shared" ca="1" si="2"/>
        <v>0</v>
      </c>
      <c r="M28" s="17">
        <f t="shared" ca="1" si="3"/>
        <v>1350</v>
      </c>
      <c r="N28" s="17">
        <f t="shared" si="4"/>
        <v>-20</v>
      </c>
      <c r="O28" s="17">
        <f t="shared" si="5"/>
        <v>-810</v>
      </c>
      <c r="P28" s="18">
        <f t="shared" ca="1" si="6"/>
        <v>0</v>
      </c>
      <c r="Q28" s="18">
        <f t="shared" ca="1" si="7"/>
        <v>0</v>
      </c>
      <c r="R28" s="19">
        <f t="shared" ca="1" si="8"/>
        <v>520</v>
      </c>
      <c r="S28" s="15">
        <f t="shared" ca="1" si="9"/>
        <v>0</v>
      </c>
    </row>
    <row r="29" spans="2:19">
      <c r="I29" s="15">
        <f t="shared" si="10"/>
        <v>25</v>
      </c>
      <c r="J29" s="16">
        <f t="shared" ca="1" si="0"/>
        <v>397</v>
      </c>
      <c r="K29" s="16">
        <f t="shared" ca="1" si="1"/>
        <v>270</v>
      </c>
      <c r="L29" s="16">
        <f t="shared" ca="1" si="2"/>
        <v>0</v>
      </c>
      <c r="M29" s="17">
        <f t="shared" ca="1" si="3"/>
        <v>1350</v>
      </c>
      <c r="N29" s="17">
        <f t="shared" si="4"/>
        <v>-20</v>
      </c>
      <c r="O29" s="17">
        <f t="shared" si="5"/>
        <v>-810</v>
      </c>
      <c r="P29" s="18">
        <f t="shared" ca="1" si="6"/>
        <v>0</v>
      </c>
      <c r="Q29" s="18">
        <f t="shared" ca="1" si="7"/>
        <v>0</v>
      </c>
      <c r="R29" s="19">
        <f t="shared" ca="1" si="8"/>
        <v>520</v>
      </c>
      <c r="S29" s="15">
        <f t="shared" ca="1" si="9"/>
        <v>0</v>
      </c>
    </row>
    <row r="30" spans="2:19">
      <c r="I30" s="15">
        <f t="shared" si="10"/>
        <v>26</v>
      </c>
      <c r="J30" s="16">
        <f t="shared" ca="1" si="0"/>
        <v>271</v>
      </c>
      <c r="K30" s="16">
        <f t="shared" ca="1" si="1"/>
        <v>270</v>
      </c>
      <c r="L30" s="16">
        <f t="shared" ca="1" si="2"/>
        <v>0</v>
      </c>
      <c r="M30" s="17">
        <f t="shared" ca="1" si="3"/>
        <v>1350</v>
      </c>
      <c r="N30" s="17">
        <f t="shared" si="4"/>
        <v>-20</v>
      </c>
      <c r="O30" s="17">
        <f t="shared" si="5"/>
        <v>-810</v>
      </c>
      <c r="P30" s="18">
        <f t="shared" ca="1" si="6"/>
        <v>0</v>
      </c>
      <c r="Q30" s="18">
        <f t="shared" ca="1" si="7"/>
        <v>0</v>
      </c>
      <c r="R30" s="19">
        <f t="shared" ca="1" si="8"/>
        <v>520</v>
      </c>
      <c r="S30" s="15">
        <f t="shared" ca="1" si="9"/>
        <v>0</v>
      </c>
    </row>
    <row r="31" spans="2:19">
      <c r="I31" s="15">
        <f t="shared" si="10"/>
        <v>27</v>
      </c>
      <c r="J31" s="16">
        <f t="shared" ca="1" si="0"/>
        <v>311</v>
      </c>
      <c r="K31" s="16">
        <f t="shared" ca="1" si="1"/>
        <v>270</v>
      </c>
      <c r="L31" s="16">
        <f t="shared" ca="1" si="2"/>
        <v>0</v>
      </c>
      <c r="M31" s="17">
        <f t="shared" ca="1" si="3"/>
        <v>1350</v>
      </c>
      <c r="N31" s="17">
        <f t="shared" si="4"/>
        <v>-20</v>
      </c>
      <c r="O31" s="17">
        <f t="shared" si="5"/>
        <v>-810</v>
      </c>
      <c r="P31" s="18">
        <f t="shared" ca="1" si="6"/>
        <v>0</v>
      </c>
      <c r="Q31" s="18">
        <f t="shared" ca="1" si="7"/>
        <v>0</v>
      </c>
      <c r="R31" s="19">
        <f t="shared" ca="1" si="8"/>
        <v>520</v>
      </c>
      <c r="S31" s="15">
        <f t="shared" ca="1" si="9"/>
        <v>0</v>
      </c>
    </row>
    <row r="32" spans="2:19">
      <c r="I32" s="15">
        <f t="shared" si="10"/>
        <v>28</v>
      </c>
      <c r="J32" s="16">
        <f t="shared" ca="1" si="0"/>
        <v>241</v>
      </c>
      <c r="K32" s="16">
        <f t="shared" ca="1" si="1"/>
        <v>241</v>
      </c>
      <c r="L32" s="16">
        <f t="shared" ca="1" si="2"/>
        <v>29</v>
      </c>
      <c r="M32" s="17">
        <f t="shared" ca="1" si="3"/>
        <v>1205</v>
      </c>
      <c r="N32" s="17">
        <f t="shared" si="4"/>
        <v>-20</v>
      </c>
      <c r="O32" s="17">
        <f t="shared" si="5"/>
        <v>-810</v>
      </c>
      <c r="P32" s="18">
        <f t="shared" ca="1" si="6"/>
        <v>-14.5</v>
      </c>
      <c r="Q32" s="18">
        <f t="shared" ca="1" si="7"/>
        <v>43.5</v>
      </c>
      <c r="R32" s="19">
        <f t="shared" ca="1" si="8"/>
        <v>404</v>
      </c>
      <c r="S32" s="15">
        <f t="shared" ca="1" si="9"/>
        <v>0</v>
      </c>
    </row>
    <row r="33" spans="9:19">
      <c r="I33" s="15">
        <f t="shared" si="10"/>
        <v>29</v>
      </c>
      <c r="J33" s="16">
        <f t="shared" ca="1" si="0"/>
        <v>397</v>
      </c>
      <c r="K33" s="16">
        <f t="shared" ca="1" si="1"/>
        <v>270</v>
      </c>
      <c r="L33" s="16">
        <f t="shared" ca="1" si="2"/>
        <v>0</v>
      </c>
      <c r="M33" s="17">
        <f t="shared" ca="1" si="3"/>
        <v>1350</v>
      </c>
      <c r="N33" s="17">
        <f t="shared" si="4"/>
        <v>-20</v>
      </c>
      <c r="O33" s="17">
        <f t="shared" si="5"/>
        <v>-810</v>
      </c>
      <c r="P33" s="18">
        <f t="shared" ca="1" si="6"/>
        <v>0</v>
      </c>
      <c r="Q33" s="18">
        <f t="shared" ca="1" si="7"/>
        <v>0</v>
      </c>
      <c r="R33" s="19">
        <f t="shared" ca="1" si="8"/>
        <v>520</v>
      </c>
      <c r="S33" s="15">
        <f t="shared" ca="1" si="9"/>
        <v>0</v>
      </c>
    </row>
    <row r="34" spans="9:19">
      <c r="I34" s="15">
        <f t="shared" si="10"/>
        <v>30</v>
      </c>
      <c r="J34" s="16">
        <f t="shared" ca="1" si="0"/>
        <v>343</v>
      </c>
      <c r="K34" s="16">
        <f t="shared" ca="1" si="1"/>
        <v>270</v>
      </c>
      <c r="L34" s="16">
        <f t="shared" ca="1" si="2"/>
        <v>0</v>
      </c>
      <c r="M34" s="17">
        <f t="shared" ca="1" si="3"/>
        <v>1350</v>
      </c>
      <c r="N34" s="17">
        <f t="shared" si="4"/>
        <v>-20</v>
      </c>
      <c r="O34" s="17">
        <f t="shared" si="5"/>
        <v>-810</v>
      </c>
      <c r="P34" s="18">
        <f t="shared" ca="1" si="6"/>
        <v>0</v>
      </c>
      <c r="Q34" s="18">
        <f t="shared" ca="1" si="7"/>
        <v>0</v>
      </c>
      <c r="R34" s="19">
        <f t="shared" ca="1" si="8"/>
        <v>520</v>
      </c>
      <c r="S34" s="15">
        <f t="shared" ca="1" si="9"/>
        <v>0</v>
      </c>
    </row>
    <row r="35" spans="9:19">
      <c r="I35" s="15">
        <f t="shared" si="10"/>
        <v>31</v>
      </c>
      <c r="J35" s="16">
        <f t="shared" ca="1" si="0"/>
        <v>398</v>
      </c>
      <c r="K35" s="16">
        <f t="shared" ca="1" si="1"/>
        <v>270</v>
      </c>
      <c r="L35" s="16">
        <f t="shared" ca="1" si="2"/>
        <v>0</v>
      </c>
      <c r="M35" s="17">
        <f t="shared" ca="1" si="3"/>
        <v>1350</v>
      </c>
      <c r="N35" s="17">
        <f t="shared" si="4"/>
        <v>-20</v>
      </c>
      <c r="O35" s="17">
        <f t="shared" si="5"/>
        <v>-810</v>
      </c>
      <c r="P35" s="18">
        <f t="shared" ca="1" si="6"/>
        <v>0</v>
      </c>
      <c r="Q35" s="18">
        <f t="shared" ca="1" si="7"/>
        <v>0</v>
      </c>
      <c r="R35" s="19">
        <f t="shared" ca="1" si="8"/>
        <v>520</v>
      </c>
      <c r="S35" s="15">
        <f t="shared" ca="1" si="9"/>
        <v>0</v>
      </c>
    </row>
    <row r="36" spans="9:19">
      <c r="I36" s="15">
        <f t="shared" si="10"/>
        <v>32</v>
      </c>
      <c r="J36" s="16">
        <f t="shared" ca="1" si="0"/>
        <v>227</v>
      </c>
      <c r="K36" s="16">
        <f t="shared" ca="1" si="1"/>
        <v>227</v>
      </c>
      <c r="L36" s="16">
        <f t="shared" ca="1" si="2"/>
        <v>43</v>
      </c>
      <c r="M36" s="17">
        <f t="shared" ca="1" si="3"/>
        <v>1135</v>
      </c>
      <c r="N36" s="17">
        <f t="shared" si="4"/>
        <v>-20</v>
      </c>
      <c r="O36" s="17">
        <f t="shared" si="5"/>
        <v>-810</v>
      </c>
      <c r="P36" s="18">
        <f t="shared" ca="1" si="6"/>
        <v>-21.5</v>
      </c>
      <c r="Q36" s="18">
        <f t="shared" ca="1" si="7"/>
        <v>64.5</v>
      </c>
      <c r="R36" s="19">
        <f t="shared" ca="1" si="8"/>
        <v>348</v>
      </c>
      <c r="S36" s="15">
        <f t="shared" ca="1" si="9"/>
        <v>0</v>
      </c>
    </row>
    <row r="37" spans="9:19">
      <c r="I37" s="15">
        <f t="shared" si="10"/>
        <v>33</v>
      </c>
      <c r="J37" s="16">
        <f t="shared" ca="1" si="0"/>
        <v>312</v>
      </c>
      <c r="K37" s="16">
        <f t="shared" ca="1" si="1"/>
        <v>270</v>
      </c>
      <c r="L37" s="16">
        <f t="shared" ca="1" si="2"/>
        <v>0</v>
      </c>
      <c r="M37" s="17">
        <f t="shared" ca="1" si="3"/>
        <v>1350</v>
      </c>
      <c r="N37" s="17">
        <f t="shared" si="4"/>
        <v>-20</v>
      </c>
      <c r="O37" s="17">
        <f t="shared" si="5"/>
        <v>-810</v>
      </c>
      <c r="P37" s="18">
        <f t="shared" ca="1" si="6"/>
        <v>0</v>
      </c>
      <c r="Q37" s="18">
        <f t="shared" ca="1" si="7"/>
        <v>0</v>
      </c>
      <c r="R37" s="19">
        <f t="shared" ca="1" si="8"/>
        <v>520</v>
      </c>
      <c r="S37" s="15">
        <f t="shared" ca="1" si="9"/>
        <v>0</v>
      </c>
    </row>
    <row r="38" spans="9:19">
      <c r="I38" s="15">
        <f t="shared" si="10"/>
        <v>34</v>
      </c>
      <c r="J38" s="16">
        <f t="shared" ca="1" si="0"/>
        <v>237</v>
      </c>
      <c r="K38" s="16">
        <f t="shared" ca="1" si="1"/>
        <v>237</v>
      </c>
      <c r="L38" s="16">
        <f t="shared" ca="1" si="2"/>
        <v>33</v>
      </c>
      <c r="M38" s="17">
        <f t="shared" ca="1" si="3"/>
        <v>1185</v>
      </c>
      <c r="N38" s="17">
        <f t="shared" si="4"/>
        <v>-20</v>
      </c>
      <c r="O38" s="17">
        <f t="shared" si="5"/>
        <v>-810</v>
      </c>
      <c r="P38" s="18">
        <f t="shared" ca="1" si="6"/>
        <v>-16.5</v>
      </c>
      <c r="Q38" s="18">
        <f t="shared" ca="1" si="7"/>
        <v>49.5</v>
      </c>
      <c r="R38" s="19">
        <f t="shared" ca="1" si="8"/>
        <v>388</v>
      </c>
      <c r="S38" s="15">
        <f t="shared" ca="1" si="9"/>
        <v>0</v>
      </c>
    </row>
    <row r="39" spans="9:19">
      <c r="I39" s="15">
        <f t="shared" si="10"/>
        <v>35</v>
      </c>
      <c r="J39" s="16">
        <f t="shared" ca="1" si="0"/>
        <v>365</v>
      </c>
      <c r="K39" s="16">
        <f t="shared" ca="1" si="1"/>
        <v>270</v>
      </c>
      <c r="L39" s="16">
        <f t="shared" ca="1" si="2"/>
        <v>0</v>
      </c>
      <c r="M39" s="17">
        <f t="shared" ca="1" si="3"/>
        <v>1350</v>
      </c>
      <c r="N39" s="17">
        <f t="shared" si="4"/>
        <v>-20</v>
      </c>
      <c r="O39" s="17">
        <f t="shared" si="5"/>
        <v>-810</v>
      </c>
      <c r="P39" s="18">
        <f t="shared" ca="1" si="6"/>
        <v>0</v>
      </c>
      <c r="Q39" s="18">
        <f t="shared" ca="1" si="7"/>
        <v>0</v>
      </c>
      <c r="R39" s="19">
        <f t="shared" ca="1" si="8"/>
        <v>520</v>
      </c>
      <c r="S39" s="15">
        <f t="shared" ca="1" si="9"/>
        <v>0</v>
      </c>
    </row>
    <row r="40" spans="9:19">
      <c r="I40" s="15">
        <f t="shared" si="10"/>
        <v>36</v>
      </c>
      <c r="J40" s="16">
        <f t="shared" ca="1" si="0"/>
        <v>320</v>
      </c>
      <c r="K40" s="16">
        <f t="shared" ca="1" si="1"/>
        <v>270</v>
      </c>
      <c r="L40" s="16">
        <f t="shared" ca="1" si="2"/>
        <v>0</v>
      </c>
      <c r="M40" s="17">
        <f t="shared" ca="1" si="3"/>
        <v>1350</v>
      </c>
      <c r="N40" s="17">
        <f t="shared" si="4"/>
        <v>-20</v>
      </c>
      <c r="O40" s="17">
        <f t="shared" si="5"/>
        <v>-810</v>
      </c>
      <c r="P40" s="18">
        <f t="shared" ca="1" si="6"/>
        <v>0</v>
      </c>
      <c r="Q40" s="18">
        <f t="shared" ca="1" si="7"/>
        <v>0</v>
      </c>
      <c r="R40" s="19">
        <f t="shared" ca="1" si="8"/>
        <v>520</v>
      </c>
      <c r="S40" s="15">
        <f t="shared" ca="1" si="9"/>
        <v>0</v>
      </c>
    </row>
    <row r="41" spans="9:19">
      <c r="I41" s="15">
        <f t="shared" si="10"/>
        <v>37</v>
      </c>
      <c r="J41" s="16">
        <f t="shared" ca="1" si="0"/>
        <v>191</v>
      </c>
      <c r="K41" s="16">
        <f t="shared" ca="1" si="1"/>
        <v>191</v>
      </c>
      <c r="L41" s="16">
        <f t="shared" ca="1" si="2"/>
        <v>79</v>
      </c>
      <c r="M41" s="17">
        <f t="shared" ca="1" si="3"/>
        <v>955</v>
      </c>
      <c r="N41" s="17">
        <f t="shared" si="4"/>
        <v>-20</v>
      </c>
      <c r="O41" s="17">
        <f t="shared" si="5"/>
        <v>-810</v>
      </c>
      <c r="P41" s="18">
        <f t="shared" ca="1" si="6"/>
        <v>-39.5</v>
      </c>
      <c r="Q41" s="18">
        <f t="shared" ca="1" si="7"/>
        <v>118.5</v>
      </c>
      <c r="R41" s="19">
        <f t="shared" ca="1" si="8"/>
        <v>204</v>
      </c>
      <c r="S41" s="15">
        <f t="shared" ca="1" si="9"/>
        <v>0</v>
      </c>
    </row>
    <row r="42" spans="9:19">
      <c r="I42" s="15">
        <f t="shared" si="10"/>
        <v>38</v>
      </c>
      <c r="J42" s="16">
        <f t="shared" ca="1" si="0"/>
        <v>171</v>
      </c>
      <c r="K42" s="16">
        <f t="shared" ca="1" si="1"/>
        <v>171</v>
      </c>
      <c r="L42" s="16">
        <f t="shared" ca="1" si="2"/>
        <v>99</v>
      </c>
      <c r="M42" s="17">
        <f t="shared" ca="1" si="3"/>
        <v>855</v>
      </c>
      <c r="N42" s="17">
        <f t="shared" si="4"/>
        <v>-20</v>
      </c>
      <c r="O42" s="17">
        <f t="shared" si="5"/>
        <v>-810</v>
      </c>
      <c r="P42" s="18">
        <f t="shared" ca="1" si="6"/>
        <v>-49.5</v>
      </c>
      <c r="Q42" s="18">
        <f t="shared" ca="1" si="7"/>
        <v>148.5</v>
      </c>
      <c r="R42" s="19">
        <f t="shared" ca="1" si="8"/>
        <v>124</v>
      </c>
      <c r="S42" s="15">
        <f t="shared" ca="1" si="9"/>
        <v>0</v>
      </c>
    </row>
    <row r="43" spans="9:19">
      <c r="I43" s="15">
        <f t="shared" si="10"/>
        <v>39</v>
      </c>
      <c r="J43" s="16">
        <f t="shared" ca="1" si="0"/>
        <v>217</v>
      </c>
      <c r="K43" s="16">
        <f t="shared" ca="1" si="1"/>
        <v>217</v>
      </c>
      <c r="L43" s="16">
        <f t="shared" ca="1" si="2"/>
        <v>53</v>
      </c>
      <c r="M43" s="17">
        <f t="shared" ca="1" si="3"/>
        <v>1085</v>
      </c>
      <c r="N43" s="17">
        <f t="shared" si="4"/>
        <v>-20</v>
      </c>
      <c r="O43" s="17">
        <f t="shared" si="5"/>
        <v>-810</v>
      </c>
      <c r="P43" s="18">
        <f t="shared" ca="1" si="6"/>
        <v>-26.5</v>
      </c>
      <c r="Q43" s="18">
        <f t="shared" ca="1" si="7"/>
        <v>79.5</v>
      </c>
      <c r="R43" s="19">
        <f t="shared" ca="1" si="8"/>
        <v>308</v>
      </c>
      <c r="S43" s="15">
        <f t="shared" ca="1" si="9"/>
        <v>0</v>
      </c>
    </row>
    <row r="44" spans="9:19">
      <c r="I44" s="15">
        <f t="shared" si="10"/>
        <v>40</v>
      </c>
      <c r="J44" s="16">
        <f t="shared" ca="1" si="0"/>
        <v>252</v>
      </c>
      <c r="K44" s="16">
        <f t="shared" ca="1" si="1"/>
        <v>252</v>
      </c>
      <c r="L44" s="16">
        <f t="shared" ca="1" si="2"/>
        <v>18</v>
      </c>
      <c r="M44" s="17">
        <f t="shared" ca="1" si="3"/>
        <v>1260</v>
      </c>
      <c r="N44" s="17">
        <f t="shared" si="4"/>
        <v>-20</v>
      </c>
      <c r="O44" s="17">
        <f t="shared" si="5"/>
        <v>-810</v>
      </c>
      <c r="P44" s="18">
        <f t="shared" ca="1" si="6"/>
        <v>-9</v>
      </c>
      <c r="Q44" s="18">
        <f t="shared" ca="1" si="7"/>
        <v>27</v>
      </c>
      <c r="R44" s="19">
        <f t="shared" ca="1" si="8"/>
        <v>448</v>
      </c>
      <c r="S44" s="15">
        <f t="shared" ca="1" si="9"/>
        <v>0</v>
      </c>
    </row>
    <row r="45" spans="9:19">
      <c r="I45" s="15">
        <f t="shared" si="10"/>
        <v>41</v>
      </c>
      <c r="J45" s="16">
        <f t="shared" ca="1" si="0"/>
        <v>239</v>
      </c>
      <c r="K45" s="16">
        <f t="shared" ca="1" si="1"/>
        <v>239</v>
      </c>
      <c r="L45" s="16">
        <f t="shared" ca="1" si="2"/>
        <v>31</v>
      </c>
      <c r="M45" s="17">
        <f t="shared" ca="1" si="3"/>
        <v>1195</v>
      </c>
      <c r="N45" s="17">
        <f t="shared" si="4"/>
        <v>-20</v>
      </c>
      <c r="O45" s="17">
        <f t="shared" si="5"/>
        <v>-810</v>
      </c>
      <c r="P45" s="18">
        <f t="shared" ca="1" si="6"/>
        <v>-15.5</v>
      </c>
      <c r="Q45" s="18">
        <f t="shared" ca="1" si="7"/>
        <v>46.5</v>
      </c>
      <c r="R45" s="19">
        <f t="shared" ca="1" si="8"/>
        <v>396</v>
      </c>
      <c r="S45" s="15">
        <f t="shared" ca="1" si="9"/>
        <v>0</v>
      </c>
    </row>
    <row r="46" spans="9:19">
      <c r="I46" s="15">
        <f t="shared" si="10"/>
        <v>42</v>
      </c>
      <c r="J46" s="16">
        <f t="shared" ca="1" si="0"/>
        <v>420</v>
      </c>
      <c r="K46" s="16">
        <f t="shared" ca="1" si="1"/>
        <v>270</v>
      </c>
      <c r="L46" s="16">
        <f t="shared" ca="1" si="2"/>
        <v>0</v>
      </c>
      <c r="M46" s="17">
        <f t="shared" ca="1" si="3"/>
        <v>1350</v>
      </c>
      <c r="N46" s="17">
        <f t="shared" si="4"/>
        <v>-20</v>
      </c>
      <c r="O46" s="17">
        <f t="shared" si="5"/>
        <v>-810</v>
      </c>
      <c r="P46" s="18">
        <f t="shared" ca="1" si="6"/>
        <v>0</v>
      </c>
      <c r="Q46" s="18">
        <f t="shared" ca="1" si="7"/>
        <v>0</v>
      </c>
      <c r="R46" s="19">
        <f t="shared" ca="1" si="8"/>
        <v>520</v>
      </c>
      <c r="S46" s="15">
        <f t="shared" ca="1" si="9"/>
        <v>0</v>
      </c>
    </row>
    <row r="47" spans="9:19">
      <c r="I47" s="15">
        <f t="shared" si="10"/>
        <v>43</v>
      </c>
      <c r="J47" s="16">
        <f t="shared" ca="1" si="0"/>
        <v>135</v>
      </c>
      <c r="K47" s="16">
        <f t="shared" ca="1" si="1"/>
        <v>135</v>
      </c>
      <c r="L47" s="16">
        <f t="shared" ca="1" si="2"/>
        <v>135</v>
      </c>
      <c r="M47" s="17">
        <f t="shared" ca="1" si="3"/>
        <v>675</v>
      </c>
      <c r="N47" s="17">
        <f t="shared" si="4"/>
        <v>-20</v>
      </c>
      <c r="O47" s="17">
        <f t="shared" si="5"/>
        <v>-810</v>
      </c>
      <c r="P47" s="18">
        <f t="shared" ca="1" si="6"/>
        <v>-67.5</v>
      </c>
      <c r="Q47" s="18">
        <f t="shared" ca="1" si="7"/>
        <v>202.5</v>
      </c>
      <c r="R47" s="19">
        <f t="shared" ca="1" si="8"/>
        <v>-20</v>
      </c>
      <c r="S47" s="15">
        <f t="shared" ca="1" si="9"/>
        <v>1</v>
      </c>
    </row>
    <row r="48" spans="9:19">
      <c r="I48" s="15">
        <f t="shared" si="10"/>
        <v>44</v>
      </c>
      <c r="J48" s="16">
        <f t="shared" ca="1" si="0"/>
        <v>376</v>
      </c>
      <c r="K48" s="16">
        <f t="shared" ca="1" si="1"/>
        <v>270</v>
      </c>
      <c r="L48" s="16">
        <f t="shared" ca="1" si="2"/>
        <v>0</v>
      </c>
      <c r="M48" s="17">
        <f t="shared" ca="1" si="3"/>
        <v>1350</v>
      </c>
      <c r="N48" s="17">
        <f t="shared" si="4"/>
        <v>-20</v>
      </c>
      <c r="O48" s="17">
        <f t="shared" si="5"/>
        <v>-810</v>
      </c>
      <c r="P48" s="18">
        <f t="shared" ca="1" si="6"/>
        <v>0</v>
      </c>
      <c r="Q48" s="18">
        <f t="shared" ca="1" si="7"/>
        <v>0</v>
      </c>
      <c r="R48" s="19">
        <f t="shared" ca="1" si="8"/>
        <v>520</v>
      </c>
      <c r="S48" s="15">
        <f t="shared" ca="1" si="9"/>
        <v>0</v>
      </c>
    </row>
    <row r="49" spans="9:19">
      <c r="I49" s="15">
        <f t="shared" si="10"/>
        <v>45</v>
      </c>
      <c r="J49" s="16">
        <f t="shared" ca="1" si="0"/>
        <v>168</v>
      </c>
      <c r="K49" s="16">
        <f t="shared" ca="1" si="1"/>
        <v>168</v>
      </c>
      <c r="L49" s="16">
        <f t="shared" ca="1" si="2"/>
        <v>102</v>
      </c>
      <c r="M49" s="17">
        <f t="shared" ca="1" si="3"/>
        <v>840</v>
      </c>
      <c r="N49" s="17">
        <f t="shared" si="4"/>
        <v>-20</v>
      </c>
      <c r="O49" s="17">
        <f t="shared" si="5"/>
        <v>-810</v>
      </c>
      <c r="P49" s="18">
        <f t="shared" ca="1" si="6"/>
        <v>-51</v>
      </c>
      <c r="Q49" s="18">
        <f t="shared" ca="1" si="7"/>
        <v>153</v>
      </c>
      <c r="R49" s="19">
        <f t="shared" ca="1" si="8"/>
        <v>112</v>
      </c>
      <c r="S49" s="15">
        <f t="shared" ca="1" si="9"/>
        <v>0</v>
      </c>
    </row>
    <row r="50" spans="9:19">
      <c r="I50" s="15">
        <f t="shared" si="10"/>
        <v>46</v>
      </c>
      <c r="J50" s="16">
        <f t="shared" ca="1" si="0"/>
        <v>310</v>
      </c>
      <c r="K50" s="16">
        <f t="shared" ca="1" si="1"/>
        <v>270</v>
      </c>
      <c r="L50" s="16">
        <f t="shared" ca="1" si="2"/>
        <v>0</v>
      </c>
      <c r="M50" s="17">
        <f t="shared" ca="1" si="3"/>
        <v>1350</v>
      </c>
      <c r="N50" s="17">
        <f t="shared" si="4"/>
        <v>-20</v>
      </c>
      <c r="O50" s="17">
        <f t="shared" si="5"/>
        <v>-810</v>
      </c>
      <c r="P50" s="18">
        <f t="shared" ca="1" si="6"/>
        <v>0</v>
      </c>
      <c r="Q50" s="18">
        <f t="shared" ca="1" si="7"/>
        <v>0</v>
      </c>
      <c r="R50" s="19">
        <f t="shared" ca="1" si="8"/>
        <v>520</v>
      </c>
      <c r="S50" s="15">
        <f t="shared" ca="1" si="9"/>
        <v>0</v>
      </c>
    </row>
    <row r="51" spans="9:19">
      <c r="I51" s="15">
        <f t="shared" si="10"/>
        <v>47</v>
      </c>
      <c r="J51" s="16">
        <f t="shared" ca="1" si="0"/>
        <v>152</v>
      </c>
      <c r="K51" s="16">
        <f t="shared" ca="1" si="1"/>
        <v>152</v>
      </c>
      <c r="L51" s="16">
        <f t="shared" ca="1" si="2"/>
        <v>118</v>
      </c>
      <c r="M51" s="17">
        <f t="shared" ca="1" si="3"/>
        <v>760</v>
      </c>
      <c r="N51" s="17">
        <f t="shared" si="4"/>
        <v>-20</v>
      </c>
      <c r="O51" s="17">
        <f t="shared" si="5"/>
        <v>-810</v>
      </c>
      <c r="P51" s="18">
        <f t="shared" ca="1" si="6"/>
        <v>-59</v>
      </c>
      <c r="Q51" s="18">
        <f t="shared" ca="1" si="7"/>
        <v>177</v>
      </c>
      <c r="R51" s="19">
        <f t="shared" ca="1" si="8"/>
        <v>48</v>
      </c>
      <c r="S51" s="15">
        <f t="shared" ca="1" si="9"/>
        <v>0</v>
      </c>
    </row>
    <row r="52" spans="9:19">
      <c r="I52" s="15">
        <f t="shared" si="10"/>
        <v>48</v>
      </c>
      <c r="J52" s="16">
        <f t="shared" ca="1" si="0"/>
        <v>274</v>
      </c>
      <c r="K52" s="16">
        <f t="shared" ca="1" si="1"/>
        <v>270</v>
      </c>
      <c r="L52" s="16">
        <f t="shared" ca="1" si="2"/>
        <v>0</v>
      </c>
      <c r="M52" s="17">
        <f t="shared" ca="1" si="3"/>
        <v>1350</v>
      </c>
      <c r="N52" s="17">
        <f t="shared" si="4"/>
        <v>-20</v>
      </c>
      <c r="O52" s="17">
        <f t="shared" si="5"/>
        <v>-810</v>
      </c>
      <c r="P52" s="18">
        <f t="shared" ca="1" si="6"/>
        <v>0</v>
      </c>
      <c r="Q52" s="18">
        <f t="shared" ca="1" si="7"/>
        <v>0</v>
      </c>
      <c r="R52" s="19">
        <f t="shared" ca="1" si="8"/>
        <v>520</v>
      </c>
      <c r="S52" s="15">
        <f t="shared" ca="1" si="9"/>
        <v>0</v>
      </c>
    </row>
    <row r="53" spans="9:19">
      <c r="I53" s="15">
        <f t="shared" si="10"/>
        <v>49</v>
      </c>
      <c r="J53" s="16">
        <f t="shared" ca="1" si="0"/>
        <v>328</v>
      </c>
      <c r="K53" s="16">
        <f t="shared" ca="1" si="1"/>
        <v>270</v>
      </c>
      <c r="L53" s="16">
        <f t="shared" ca="1" si="2"/>
        <v>0</v>
      </c>
      <c r="M53" s="17">
        <f t="shared" ca="1" si="3"/>
        <v>1350</v>
      </c>
      <c r="N53" s="17">
        <f t="shared" si="4"/>
        <v>-20</v>
      </c>
      <c r="O53" s="17">
        <f t="shared" si="5"/>
        <v>-810</v>
      </c>
      <c r="P53" s="18">
        <f t="shared" ca="1" si="6"/>
        <v>0</v>
      </c>
      <c r="Q53" s="18">
        <f t="shared" ca="1" si="7"/>
        <v>0</v>
      </c>
      <c r="R53" s="19">
        <f t="shared" ca="1" si="8"/>
        <v>520</v>
      </c>
      <c r="S53" s="15">
        <f t="shared" ca="1" si="9"/>
        <v>0</v>
      </c>
    </row>
    <row r="54" spans="9:19">
      <c r="I54" s="15">
        <f t="shared" si="10"/>
        <v>50</v>
      </c>
      <c r="J54" s="16">
        <f t="shared" ca="1" si="0"/>
        <v>294</v>
      </c>
      <c r="K54" s="16">
        <f t="shared" ca="1" si="1"/>
        <v>270</v>
      </c>
      <c r="L54" s="16">
        <f t="shared" ca="1" si="2"/>
        <v>0</v>
      </c>
      <c r="M54" s="17">
        <f t="shared" ca="1" si="3"/>
        <v>1350</v>
      </c>
      <c r="N54" s="17">
        <f t="shared" si="4"/>
        <v>-20</v>
      </c>
      <c r="O54" s="17">
        <f t="shared" si="5"/>
        <v>-810</v>
      </c>
      <c r="P54" s="18">
        <f t="shared" ca="1" si="6"/>
        <v>0</v>
      </c>
      <c r="Q54" s="18">
        <f t="shared" ca="1" si="7"/>
        <v>0</v>
      </c>
      <c r="R54" s="19">
        <f t="shared" ca="1" si="8"/>
        <v>520</v>
      </c>
      <c r="S54" s="15">
        <f t="shared" ca="1" si="9"/>
        <v>0</v>
      </c>
    </row>
    <row r="55" spans="9:19">
      <c r="I55" s="15">
        <f t="shared" si="10"/>
        <v>51</v>
      </c>
      <c r="J55" s="16">
        <f t="shared" ca="1" si="0"/>
        <v>231</v>
      </c>
      <c r="K55" s="16">
        <f t="shared" ca="1" si="1"/>
        <v>231</v>
      </c>
      <c r="L55" s="16">
        <f t="shared" ca="1" si="2"/>
        <v>39</v>
      </c>
      <c r="M55" s="17">
        <f t="shared" ca="1" si="3"/>
        <v>1155</v>
      </c>
      <c r="N55" s="17">
        <f t="shared" si="4"/>
        <v>-20</v>
      </c>
      <c r="O55" s="17">
        <f t="shared" si="5"/>
        <v>-810</v>
      </c>
      <c r="P55" s="18">
        <f t="shared" ca="1" si="6"/>
        <v>-19.5</v>
      </c>
      <c r="Q55" s="18">
        <f t="shared" ca="1" si="7"/>
        <v>58.5</v>
      </c>
      <c r="R55" s="19">
        <f t="shared" ca="1" si="8"/>
        <v>364</v>
      </c>
      <c r="S55" s="15">
        <f t="shared" ca="1" si="9"/>
        <v>0</v>
      </c>
    </row>
    <row r="56" spans="9:19">
      <c r="I56" s="15">
        <f t="shared" si="10"/>
        <v>52</v>
      </c>
      <c r="J56" s="16">
        <f t="shared" ca="1" si="0"/>
        <v>287</v>
      </c>
      <c r="K56" s="16">
        <f t="shared" ca="1" si="1"/>
        <v>270</v>
      </c>
      <c r="L56" s="16">
        <f t="shared" ca="1" si="2"/>
        <v>0</v>
      </c>
      <c r="M56" s="17">
        <f t="shared" ca="1" si="3"/>
        <v>1350</v>
      </c>
      <c r="N56" s="17">
        <f t="shared" si="4"/>
        <v>-20</v>
      </c>
      <c r="O56" s="17">
        <f t="shared" si="5"/>
        <v>-810</v>
      </c>
      <c r="P56" s="18">
        <f t="shared" ca="1" si="6"/>
        <v>0</v>
      </c>
      <c r="Q56" s="18">
        <f t="shared" ca="1" si="7"/>
        <v>0</v>
      </c>
      <c r="R56" s="19">
        <f t="shared" ca="1" si="8"/>
        <v>520</v>
      </c>
      <c r="S56" s="15">
        <f t="shared" ca="1" si="9"/>
        <v>0</v>
      </c>
    </row>
    <row r="57" spans="9:19">
      <c r="I57" s="15">
        <f t="shared" si="10"/>
        <v>53</v>
      </c>
      <c r="J57" s="16">
        <f t="shared" ca="1" si="0"/>
        <v>391</v>
      </c>
      <c r="K57" s="16">
        <f t="shared" ca="1" si="1"/>
        <v>270</v>
      </c>
      <c r="L57" s="16">
        <f t="shared" ca="1" si="2"/>
        <v>0</v>
      </c>
      <c r="M57" s="17">
        <f t="shared" ca="1" si="3"/>
        <v>1350</v>
      </c>
      <c r="N57" s="17">
        <f t="shared" si="4"/>
        <v>-20</v>
      </c>
      <c r="O57" s="17">
        <f t="shared" si="5"/>
        <v>-810</v>
      </c>
      <c r="P57" s="18">
        <f t="shared" ca="1" si="6"/>
        <v>0</v>
      </c>
      <c r="Q57" s="18">
        <f t="shared" ca="1" si="7"/>
        <v>0</v>
      </c>
      <c r="R57" s="19">
        <f t="shared" ca="1" si="8"/>
        <v>520</v>
      </c>
      <c r="S57" s="15">
        <f t="shared" ca="1" si="9"/>
        <v>0</v>
      </c>
    </row>
    <row r="58" spans="9:19">
      <c r="I58" s="15">
        <f t="shared" si="10"/>
        <v>54</v>
      </c>
      <c r="J58" s="16">
        <f t="shared" ca="1" si="0"/>
        <v>127</v>
      </c>
      <c r="K58" s="16">
        <f t="shared" ca="1" si="1"/>
        <v>127</v>
      </c>
      <c r="L58" s="16">
        <f t="shared" ca="1" si="2"/>
        <v>143</v>
      </c>
      <c r="M58" s="17">
        <f t="shared" ca="1" si="3"/>
        <v>635</v>
      </c>
      <c r="N58" s="17">
        <f t="shared" si="4"/>
        <v>-20</v>
      </c>
      <c r="O58" s="17">
        <f t="shared" si="5"/>
        <v>-810</v>
      </c>
      <c r="P58" s="18">
        <f t="shared" ca="1" si="6"/>
        <v>-71.5</v>
      </c>
      <c r="Q58" s="18">
        <f t="shared" ca="1" si="7"/>
        <v>214.5</v>
      </c>
      <c r="R58" s="19">
        <f t="shared" ca="1" si="8"/>
        <v>-52</v>
      </c>
      <c r="S58" s="15">
        <f t="shared" ca="1" si="9"/>
        <v>1</v>
      </c>
    </row>
    <row r="59" spans="9:19">
      <c r="I59" s="15">
        <f t="shared" si="10"/>
        <v>55</v>
      </c>
      <c r="J59" s="16">
        <f t="shared" ca="1" si="0"/>
        <v>418</v>
      </c>
      <c r="K59" s="16">
        <f t="shared" ca="1" si="1"/>
        <v>270</v>
      </c>
      <c r="L59" s="16">
        <f t="shared" ca="1" si="2"/>
        <v>0</v>
      </c>
      <c r="M59" s="17">
        <f t="shared" ca="1" si="3"/>
        <v>1350</v>
      </c>
      <c r="N59" s="17">
        <f t="shared" si="4"/>
        <v>-20</v>
      </c>
      <c r="O59" s="17">
        <f t="shared" si="5"/>
        <v>-810</v>
      </c>
      <c r="P59" s="18">
        <f t="shared" ca="1" si="6"/>
        <v>0</v>
      </c>
      <c r="Q59" s="18">
        <f t="shared" ca="1" si="7"/>
        <v>0</v>
      </c>
      <c r="R59" s="19">
        <f t="shared" ca="1" si="8"/>
        <v>520</v>
      </c>
      <c r="S59" s="15">
        <f t="shared" ca="1" si="9"/>
        <v>0</v>
      </c>
    </row>
    <row r="60" spans="9:19">
      <c r="I60" s="15">
        <f t="shared" si="10"/>
        <v>56</v>
      </c>
      <c r="J60" s="16">
        <f t="shared" ca="1" si="0"/>
        <v>406</v>
      </c>
      <c r="K60" s="16">
        <f t="shared" ca="1" si="1"/>
        <v>270</v>
      </c>
      <c r="L60" s="16">
        <f t="shared" ca="1" si="2"/>
        <v>0</v>
      </c>
      <c r="M60" s="17">
        <f t="shared" ca="1" si="3"/>
        <v>1350</v>
      </c>
      <c r="N60" s="17">
        <f t="shared" si="4"/>
        <v>-20</v>
      </c>
      <c r="O60" s="17">
        <f t="shared" si="5"/>
        <v>-810</v>
      </c>
      <c r="P60" s="18">
        <f t="shared" ca="1" si="6"/>
        <v>0</v>
      </c>
      <c r="Q60" s="18">
        <f t="shared" ca="1" si="7"/>
        <v>0</v>
      </c>
      <c r="R60" s="19">
        <f t="shared" ca="1" si="8"/>
        <v>520</v>
      </c>
      <c r="S60" s="15">
        <f t="shared" ca="1" si="9"/>
        <v>0</v>
      </c>
    </row>
    <row r="61" spans="9:19">
      <c r="I61" s="15">
        <f t="shared" si="10"/>
        <v>57</v>
      </c>
      <c r="J61" s="16">
        <f t="shared" ca="1" si="0"/>
        <v>189</v>
      </c>
      <c r="K61" s="16">
        <f t="shared" ca="1" si="1"/>
        <v>189</v>
      </c>
      <c r="L61" s="16">
        <f t="shared" ca="1" si="2"/>
        <v>81</v>
      </c>
      <c r="M61" s="17">
        <f t="shared" ca="1" si="3"/>
        <v>945</v>
      </c>
      <c r="N61" s="17">
        <f t="shared" si="4"/>
        <v>-20</v>
      </c>
      <c r="O61" s="17">
        <f t="shared" si="5"/>
        <v>-810</v>
      </c>
      <c r="P61" s="18">
        <f t="shared" ca="1" si="6"/>
        <v>-40.5</v>
      </c>
      <c r="Q61" s="18">
        <f t="shared" ca="1" si="7"/>
        <v>121.5</v>
      </c>
      <c r="R61" s="19">
        <f t="shared" ca="1" si="8"/>
        <v>196</v>
      </c>
      <c r="S61" s="15">
        <f t="shared" ca="1" si="9"/>
        <v>0</v>
      </c>
    </row>
    <row r="62" spans="9:19">
      <c r="I62" s="15">
        <f t="shared" si="10"/>
        <v>58</v>
      </c>
      <c r="J62" s="16">
        <f t="shared" ca="1" si="0"/>
        <v>187</v>
      </c>
      <c r="K62" s="16">
        <f t="shared" ca="1" si="1"/>
        <v>187</v>
      </c>
      <c r="L62" s="16">
        <f t="shared" ca="1" si="2"/>
        <v>83</v>
      </c>
      <c r="M62" s="17">
        <f t="shared" ca="1" si="3"/>
        <v>935</v>
      </c>
      <c r="N62" s="17">
        <f t="shared" si="4"/>
        <v>-20</v>
      </c>
      <c r="O62" s="17">
        <f t="shared" si="5"/>
        <v>-810</v>
      </c>
      <c r="P62" s="18">
        <f t="shared" ca="1" si="6"/>
        <v>-41.5</v>
      </c>
      <c r="Q62" s="18">
        <f t="shared" ca="1" si="7"/>
        <v>124.5</v>
      </c>
      <c r="R62" s="19">
        <f t="shared" ca="1" si="8"/>
        <v>188</v>
      </c>
      <c r="S62" s="15">
        <f t="shared" ca="1" si="9"/>
        <v>0</v>
      </c>
    </row>
    <row r="63" spans="9:19">
      <c r="I63" s="15">
        <f t="shared" si="10"/>
        <v>59</v>
      </c>
      <c r="J63" s="16">
        <f t="shared" ca="1" si="0"/>
        <v>359</v>
      </c>
      <c r="K63" s="16">
        <f t="shared" ca="1" si="1"/>
        <v>270</v>
      </c>
      <c r="L63" s="16">
        <f t="shared" ca="1" si="2"/>
        <v>0</v>
      </c>
      <c r="M63" s="17">
        <f t="shared" ca="1" si="3"/>
        <v>1350</v>
      </c>
      <c r="N63" s="17">
        <f t="shared" si="4"/>
        <v>-20</v>
      </c>
      <c r="O63" s="17">
        <f t="shared" si="5"/>
        <v>-810</v>
      </c>
      <c r="P63" s="18">
        <f t="shared" ca="1" si="6"/>
        <v>0</v>
      </c>
      <c r="Q63" s="18">
        <f t="shared" ca="1" si="7"/>
        <v>0</v>
      </c>
      <c r="R63" s="19">
        <f t="shared" ca="1" si="8"/>
        <v>520</v>
      </c>
      <c r="S63" s="15">
        <f t="shared" ca="1" si="9"/>
        <v>0</v>
      </c>
    </row>
    <row r="64" spans="9:19">
      <c r="I64" s="15">
        <f t="shared" si="10"/>
        <v>60</v>
      </c>
      <c r="J64" s="16">
        <f t="shared" ca="1" si="0"/>
        <v>226</v>
      </c>
      <c r="K64" s="16">
        <f t="shared" ca="1" si="1"/>
        <v>226</v>
      </c>
      <c r="L64" s="16">
        <f t="shared" ca="1" si="2"/>
        <v>44</v>
      </c>
      <c r="M64" s="17">
        <f t="shared" ca="1" si="3"/>
        <v>1130</v>
      </c>
      <c r="N64" s="17">
        <f t="shared" si="4"/>
        <v>-20</v>
      </c>
      <c r="O64" s="17">
        <f t="shared" si="5"/>
        <v>-810</v>
      </c>
      <c r="P64" s="18">
        <f t="shared" ca="1" si="6"/>
        <v>-22</v>
      </c>
      <c r="Q64" s="18">
        <f t="shared" ca="1" si="7"/>
        <v>66</v>
      </c>
      <c r="R64" s="19">
        <f t="shared" ca="1" si="8"/>
        <v>344</v>
      </c>
      <c r="S64" s="15">
        <f t="shared" ca="1" si="9"/>
        <v>0</v>
      </c>
    </row>
    <row r="65" spans="9:19">
      <c r="I65" s="15">
        <f t="shared" si="10"/>
        <v>61</v>
      </c>
      <c r="J65" s="16">
        <f t="shared" ca="1" si="0"/>
        <v>352</v>
      </c>
      <c r="K65" s="16">
        <f t="shared" ca="1" si="1"/>
        <v>270</v>
      </c>
      <c r="L65" s="16">
        <f t="shared" ca="1" si="2"/>
        <v>0</v>
      </c>
      <c r="M65" s="17">
        <f t="shared" ca="1" si="3"/>
        <v>1350</v>
      </c>
      <c r="N65" s="17">
        <f t="shared" si="4"/>
        <v>-20</v>
      </c>
      <c r="O65" s="17">
        <f t="shared" si="5"/>
        <v>-810</v>
      </c>
      <c r="P65" s="18">
        <f t="shared" ca="1" si="6"/>
        <v>0</v>
      </c>
      <c r="Q65" s="18">
        <f t="shared" ca="1" si="7"/>
        <v>0</v>
      </c>
      <c r="R65" s="19">
        <f t="shared" ca="1" si="8"/>
        <v>520</v>
      </c>
      <c r="S65" s="15">
        <f t="shared" ca="1" si="9"/>
        <v>0</v>
      </c>
    </row>
    <row r="66" spans="9:19">
      <c r="I66" s="15">
        <f t="shared" si="10"/>
        <v>62</v>
      </c>
      <c r="J66" s="16">
        <f t="shared" ca="1" si="0"/>
        <v>133</v>
      </c>
      <c r="K66" s="16">
        <f t="shared" ca="1" si="1"/>
        <v>133</v>
      </c>
      <c r="L66" s="16">
        <f t="shared" ca="1" si="2"/>
        <v>137</v>
      </c>
      <c r="M66" s="17">
        <f t="shared" ca="1" si="3"/>
        <v>665</v>
      </c>
      <c r="N66" s="17">
        <f t="shared" si="4"/>
        <v>-20</v>
      </c>
      <c r="O66" s="17">
        <f t="shared" si="5"/>
        <v>-810</v>
      </c>
      <c r="P66" s="18">
        <f t="shared" ca="1" si="6"/>
        <v>-68.5</v>
      </c>
      <c r="Q66" s="18">
        <f t="shared" ca="1" si="7"/>
        <v>205.5</v>
      </c>
      <c r="R66" s="19">
        <f t="shared" ca="1" si="8"/>
        <v>-28</v>
      </c>
      <c r="S66" s="15">
        <f t="shared" ca="1" si="9"/>
        <v>1</v>
      </c>
    </row>
    <row r="67" spans="9:19">
      <c r="I67" s="15">
        <f t="shared" si="10"/>
        <v>63</v>
      </c>
      <c r="J67" s="16">
        <f t="shared" ca="1" si="0"/>
        <v>369</v>
      </c>
      <c r="K67" s="16">
        <f t="shared" ca="1" si="1"/>
        <v>270</v>
      </c>
      <c r="L67" s="16">
        <f t="shared" ca="1" si="2"/>
        <v>0</v>
      </c>
      <c r="M67" s="17">
        <f t="shared" ca="1" si="3"/>
        <v>1350</v>
      </c>
      <c r="N67" s="17">
        <f t="shared" si="4"/>
        <v>-20</v>
      </c>
      <c r="O67" s="17">
        <f t="shared" si="5"/>
        <v>-810</v>
      </c>
      <c r="P67" s="18">
        <f t="shared" ca="1" si="6"/>
        <v>0</v>
      </c>
      <c r="Q67" s="18">
        <f t="shared" ca="1" si="7"/>
        <v>0</v>
      </c>
      <c r="R67" s="19">
        <f t="shared" ca="1" si="8"/>
        <v>520</v>
      </c>
      <c r="S67" s="15">
        <f t="shared" ca="1" si="9"/>
        <v>0</v>
      </c>
    </row>
    <row r="68" spans="9:19">
      <c r="I68" s="15">
        <f t="shared" si="10"/>
        <v>64</v>
      </c>
      <c r="J68" s="16">
        <f t="shared" ca="1" si="0"/>
        <v>385</v>
      </c>
      <c r="K68" s="16">
        <f t="shared" ca="1" si="1"/>
        <v>270</v>
      </c>
      <c r="L68" s="16">
        <f t="shared" ca="1" si="2"/>
        <v>0</v>
      </c>
      <c r="M68" s="17">
        <f t="shared" ca="1" si="3"/>
        <v>1350</v>
      </c>
      <c r="N68" s="17">
        <f t="shared" si="4"/>
        <v>-20</v>
      </c>
      <c r="O68" s="17">
        <f t="shared" si="5"/>
        <v>-810</v>
      </c>
      <c r="P68" s="18">
        <f t="shared" ca="1" si="6"/>
        <v>0</v>
      </c>
      <c r="Q68" s="18">
        <f t="shared" ca="1" si="7"/>
        <v>0</v>
      </c>
      <c r="R68" s="19">
        <f t="shared" ca="1" si="8"/>
        <v>520</v>
      </c>
      <c r="S68" s="15">
        <f t="shared" ca="1" si="9"/>
        <v>0</v>
      </c>
    </row>
    <row r="69" spans="9:19">
      <c r="I69" s="15">
        <f t="shared" si="10"/>
        <v>65</v>
      </c>
      <c r="J69" s="16">
        <f t="shared" ca="1" si="0"/>
        <v>368</v>
      </c>
      <c r="K69" s="16">
        <f t="shared" ca="1" si="1"/>
        <v>270</v>
      </c>
      <c r="L69" s="16">
        <f t="shared" ca="1" si="2"/>
        <v>0</v>
      </c>
      <c r="M69" s="17">
        <f t="shared" ca="1" si="3"/>
        <v>1350</v>
      </c>
      <c r="N69" s="17">
        <f t="shared" si="4"/>
        <v>-20</v>
      </c>
      <c r="O69" s="17">
        <f t="shared" si="5"/>
        <v>-810</v>
      </c>
      <c r="P69" s="18">
        <f t="shared" ca="1" si="6"/>
        <v>0</v>
      </c>
      <c r="Q69" s="18">
        <f t="shared" ca="1" si="7"/>
        <v>0</v>
      </c>
      <c r="R69" s="19">
        <f t="shared" ca="1" si="8"/>
        <v>520</v>
      </c>
      <c r="S69" s="15">
        <f t="shared" ca="1" si="9"/>
        <v>0</v>
      </c>
    </row>
    <row r="70" spans="9:19">
      <c r="I70" s="15">
        <f t="shared" si="10"/>
        <v>66</v>
      </c>
      <c r="J70" s="16">
        <f t="shared" ref="J70:J133" ca="1" si="11">RANDBETWEEN(120,420)</f>
        <v>180</v>
      </c>
      <c r="K70" s="16">
        <f t="shared" ref="K70:K133" ca="1" si="12">IF(J70&gt;=$D$18,$D$18,J70)</f>
        <v>180</v>
      </c>
      <c r="L70" s="16">
        <f t="shared" ref="L70:L133" ca="1" si="13">$D$18-K70</f>
        <v>90</v>
      </c>
      <c r="M70" s="17">
        <f t="shared" ref="M70:M133" ca="1" si="14">K70*5</f>
        <v>900</v>
      </c>
      <c r="N70" s="17">
        <f t="shared" ref="N70:N133" si="15">-$D$10</f>
        <v>-20</v>
      </c>
      <c r="O70" s="17">
        <f t="shared" ref="O70:O133" si="16">-$D$6*$D$18</f>
        <v>-810</v>
      </c>
      <c r="P70" s="18">
        <f t="shared" ref="P70:P133" ca="1" si="17">-L70*$D$9</f>
        <v>-45</v>
      </c>
      <c r="Q70" s="18">
        <f t="shared" ref="Q70:Q133" ca="1" si="18">L70*($D$6*$D$8)</f>
        <v>135</v>
      </c>
      <c r="R70" s="19">
        <f t="shared" ref="R70:R133" ca="1" si="19">SUM(M70:Q70)</f>
        <v>160</v>
      </c>
      <c r="S70" s="15">
        <f t="shared" ref="S70:S133" ca="1" si="20">IF(R70&lt;0,1,0)</f>
        <v>0</v>
      </c>
    </row>
    <row r="71" spans="9:19">
      <c r="I71" s="15">
        <f t="shared" ref="I71:I134" si="21">I70+1</f>
        <v>67</v>
      </c>
      <c r="J71" s="16">
        <f t="shared" ca="1" si="11"/>
        <v>130</v>
      </c>
      <c r="K71" s="16">
        <f t="shared" ca="1" si="12"/>
        <v>130</v>
      </c>
      <c r="L71" s="16">
        <f t="shared" ca="1" si="13"/>
        <v>140</v>
      </c>
      <c r="M71" s="17">
        <f t="shared" ca="1" si="14"/>
        <v>650</v>
      </c>
      <c r="N71" s="17">
        <f t="shared" si="15"/>
        <v>-20</v>
      </c>
      <c r="O71" s="17">
        <f t="shared" si="16"/>
        <v>-810</v>
      </c>
      <c r="P71" s="18">
        <f t="shared" ca="1" si="17"/>
        <v>-70</v>
      </c>
      <c r="Q71" s="18">
        <f t="shared" ca="1" si="18"/>
        <v>210</v>
      </c>
      <c r="R71" s="19">
        <f t="shared" ca="1" si="19"/>
        <v>-40</v>
      </c>
      <c r="S71" s="15">
        <f t="shared" ca="1" si="20"/>
        <v>1</v>
      </c>
    </row>
    <row r="72" spans="9:19">
      <c r="I72" s="15">
        <f t="shared" si="21"/>
        <v>68</v>
      </c>
      <c r="J72" s="16">
        <f t="shared" ca="1" si="11"/>
        <v>267</v>
      </c>
      <c r="K72" s="16">
        <f t="shared" ca="1" si="12"/>
        <v>267</v>
      </c>
      <c r="L72" s="16">
        <f t="shared" ca="1" si="13"/>
        <v>3</v>
      </c>
      <c r="M72" s="17">
        <f t="shared" ca="1" si="14"/>
        <v>1335</v>
      </c>
      <c r="N72" s="17">
        <f t="shared" si="15"/>
        <v>-20</v>
      </c>
      <c r="O72" s="17">
        <f t="shared" si="16"/>
        <v>-810</v>
      </c>
      <c r="P72" s="18">
        <f t="shared" ca="1" si="17"/>
        <v>-1.5</v>
      </c>
      <c r="Q72" s="18">
        <f t="shared" ca="1" si="18"/>
        <v>4.5</v>
      </c>
      <c r="R72" s="19">
        <f t="shared" ca="1" si="19"/>
        <v>508</v>
      </c>
      <c r="S72" s="15">
        <f t="shared" ca="1" si="20"/>
        <v>0</v>
      </c>
    </row>
    <row r="73" spans="9:19">
      <c r="I73" s="15">
        <f t="shared" si="21"/>
        <v>69</v>
      </c>
      <c r="J73" s="16">
        <f t="shared" ca="1" si="11"/>
        <v>187</v>
      </c>
      <c r="K73" s="16">
        <f t="shared" ca="1" si="12"/>
        <v>187</v>
      </c>
      <c r="L73" s="16">
        <f t="shared" ca="1" si="13"/>
        <v>83</v>
      </c>
      <c r="M73" s="17">
        <f t="shared" ca="1" si="14"/>
        <v>935</v>
      </c>
      <c r="N73" s="17">
        <f t="shared" si="15"/>
        <v>-20</v>
      </c>
      <c r="O73" s="17">
        <f t="shared" si="16"/>
        <v>-810</v>
      </c>
      <c r="P73" s="18">
        <f t="shared" ca="1" si="17"/>
        <v>-41.5</v>
      </c>
      <c r="Q73" s="18">
        <f t="shared" ca="1" si="18"/>
        <v>124.5</v>
      </c>
      <c r="R73" s="19">
        <f t="shared" ca="1" si="19"/>
        <v>188</v>
      </c>
      <c r="S73" s="15">
        <f t="shared" ca="1" si="20"/>
        <v>0</v>
      </c>
    </row>
    <row r="74" spans="9:19">
      <c r="I74" s="15">
        <f t="shared" si="21"/>
        <v>70</v>
      </c>
      <c r="J74" s="16">
        <f t="shared" ca="1" si="11"/>
        <v>340</v>
      </c>
      <c r="K74" s="16">
        <f t="shared" ca="1" si="12"/>
        <v>270</v>
      </c>
      <c r="L74" s="16">
        <f t="shared" ca="1" si="13"/>
        <v>0</v>
      </c>
      <c r="M74" s="17">
        <f t="shared" ca="1" si="14"/>
        <v>1350</v>
      </c>
      <c r="N74" s="17">
        <f t="shared" si="15"/>
        <v>-20</v>
      </c>
      <c r="O74" s="17">
        <f t="shared" si="16"/>
        <v>-810</v>
      </c>
      <c r="P74" s="18">
        <f t="shared" ca="1" si="17"/>
        <v>0</v>
      </c>
      <c r="Q74" s="18">
        <f t="shared" ca="1" si="18"/>
        <v>0</v>
      </c>
      <c r="R74" s="19">
        <f t="shared" ca="1" si="19"/>
        <v>520</v>
      </c>
      <c r="S74" s="15">
        <f t="shared" ca="1" si="20"/>
        <v>0</v>
      </c>
    </row>
    <row r="75" spans="9:19">
      <c r="I75" s="15">
        <f t="shared" si="21"/>
        <v>71</v>
      </c>
      <c r="J75" s="16">
        <f t="shared" ca="1" si="11"/>
        <v>321</v>
      </c>
      <c r="K75" s="16">
        <f t="shared" ca="1" si="12"/>
        <v>270</v>
      </c>
      <c r="L75" s="16">
        <f t="shared" ca="1" si="13"/>
        <v>0</v>
      </c>
      <c r="M75" s="17">
        <f t="shared" ca="1" si="14"/>
        <v>1350</v>
      </c>
      <c r="N75" s="17">
        <f t="shared" si="15"/>
        <v>-20</v>
      </c>
      <c r="O75" s="17">
        <f t="shared" si="16"/>
        <v>-810</v>
      </c>
      <c r="P75" s="18">
        <f t="shared" ca="1" si="17"/>
        <v>0</v>
      </c>
      <c r="Q75" s="18">
        <f t="shared" ca="1" si="18"/>
        <v>0</v>
      </c>
      <c r="R75" s="19">
        <f t="shared" ca="1" si="19"/>
        <v>520</v>
      </c>
      <c r="S75" s="15">
        <f t="shared" ca="1" si="20"/>
        <v>0</v>
      </c>
    </row>
    <row r="76" spans="9:19">
      <c r="I76" s="15">
        <f t="shared" si="21"/>
        <v>72</v>
      </c>
      <c r="J76" s="16">
        <f t="shared" ca="1" si="11"/>
        <v>197</v>
      </c>
      <c r="K76" s="16">
        <f t="shared" ca="1" si="12"/>
        <v>197</v>
      </c>
      <c r="L76" s="16">
        <f t="shared" ca="1" si="13"/>
        <v>73</v>
      </c>
      <c r="M76" s="17">
        <f t="shared" ca="1" si="14"/>
        <v>985</v>
      </c>
      <c r="N76" s="17">
        <f t="shared" si="15"/>
        <v>-20</v>
      </c>
      <c r="O76" s="17">
        <f t="shared" si="16"/>
        <v>-810</v>
      </c>
      <c r="P76" s="18">
        <f t="shared" ca="1" si="17"/>
        <v>-36.5</v>
      </c>
      <c r="Q76" s="18">
        <f t="shared" ca="1" si="18"/>
        <v>109.5</v>
      </c>
      <c r="R76" s="19">
        <f t="shared" ca="1" si="19"/>
        <v>228</v>
      </c>
      <c r="S76" s="15">
        <f t="shared" ca="1" si="20"/>
        <v>0</v>
      </c>
    </row>
    <row r="77" spans="9:19">
      <c r="I77" s="15">
        <f t="shared" si="21"/>
        <v>73</v>
      </c>
      <c r="J77" s="16">
        <f t="shared" ca="1" si="11"/>
        <v>239</v>
      </c>
      <c r="K77" s="16">
        <f t="shared" ca="1" si="12"/>
        <v>239</v>
      </c>
      <c r="L77" s="16">
        <f t="shared" ca="1" si="13"/>
        <v>31</v>
      </c>
      <c r="M77" s="17">
        <f t="shared" ca="1" si="14"/>
        <v>1195</v>
      </c>
      <c r="N77" s="17">
        <f t="shared" si="15"/>
        <v>-20</v>
      </c>
      <c r="O77" s="17">
        <f t="shared" si="16"/>
        <v>-810</v>
      </c>
      <c r="P77" s="18">
        <f t="shared" ca="1" si="17"/>
        <v>-15.5</v>
      </c>
      <c r="Q77" s="18">
        <f t="shared" ca="1" si="18"/>
        <v>46.5</v>
      </c>
      <c r="R77" s="19">
        <f t="shared" ca="1" si="19"/>
        <v>396</v>
      </c>
      <c r="S77" s="15">
        <f t="shared" ca="1" si="20"/>
        <v>0</v>
      </c>
    </row>
    <row r="78" spans="9:19">
      <c r="I78" s="15">
        <f t="shared" si="21"/>
        <v>74</v>
      </c>
      <c r="J78" s="16">
        <f t="shared" ca="1" si="11"/>
        <v>266</v>
      </c>
      <c r="K78" s="16">
        <f t="shared" ca="1" si="12"/>
        <v>266</v>
      </c>
      <c r="L78" s="16">
        <f t="shared" ca="1" si="13"/>
        <v>4</v>
      </c>
      <c r="M78" s="17">
        <f t="shared" ca="1" si="14"/>
        <v>1330</v>
      </c>
      <c r="N78" s="17">
        <f t="shared" si="15"/>
        <v>-20</v>
      </c>
      <c r="O78" s="17">
        <f t="shared" si="16"/>
        <v>-810</v>
      </c>
      <c r="P78" s="18">
        <f t="shared" ca="1" si="17"/>
        <v>-2</v>
      </c>
      <c r="Q78" s="18">
        <f t="shared" ca="1" si="18"/>
        <v>6</v>
      </c>
      <c r="R78" s="19">
        <f t="shared" ca="1" si="19"/>
        <v>504</v>
      </c>
      <c r="S78" s="15">
        <f t="shared" ca="1" si="20"/>
        <v>0</v>
      </c>
    </row>
    <row r="79" spans="9:19">
      <c r="I79" s="15">
        <f t="shared" si="21"/>
        <v>75</v>
      </c>
      <c r="J79" s="16">
        <f t="shared" ca="1" si="11"/>
        <v>328</v>
      </c>
      <c r="K79" s="16">
        <f t="shared" ca="1" si="12"/>
        <v>270</v>
      </c>
      <c r="L79" s="16">
        <f t="shared" ca="1" si="13"/>
        <v>0</v>
      </c>
      <c r="M79" s="17">
        <f t="shared" ca="1" si="14"/>
        <v>1350</v>
      </c>
      <c r="N79" s="17">
        <f t="shared" si="15"/>
        <v>-20</v>
      </c>
      <c r="O79" s="17">
        <f t="shared" si="16"/>
        <v>-810</v>
      </c>
      <c r="P79" s="18">
        <f t="shared" ca="1" si="17"/>
        <v>0</v>
      </c>
      <c r="Q79" s="18">
        <f t="shared" ca="1" si="18"/>
        <v>0</v>
      </c>
      <c r="R79" s="19">
        <f t="shared" ca="1" si="19"/>
        <v>520</v>
      </c>
      <c r="S79" s="15">
        <f t="shared" ca="1" si="20"/>
        <v>0</v>
      </c>
    </row>
    <row r="80" spans="9:19">
      <c r="I80" s="15">
        <f t="shared" si="21"/>
        <v>76</v>
      </c>
      <c r="J80" s="16">
        <f t="shared" ca="1" si="11"/>
        <v>382</v>
      </c>
      <c r="K80" s="16">
        <f t="shared" ca="1" si="12"/>
        <v>270</v>
      </c>
      <c r="L80" s="16">
        <f t="shared" ca="1" si="13"/>
        <v>0</v>
      </c>
      <c r="M80" s="17">
        <f t="shared" ca="1" si="14"/>
        <v>1350</v>
      </c>
      <c r="N80" s="17">
        <f t="shared" si="15"/>
        <v>-20</v>
      </c>
      <c r="O80" s="17">
        <f t="shared" si="16"/>
        <v>-810</v>
      </c>
      <c r="P80" s="18">
        <f t="shared" ca="1" si="17"/>
        <v>0</v>
      </c>
      <c r="Q80" s="18">
        <f t="shared" ca="1" si="18"/>
        <v>0</v>
      </c>
      <c r="R80" s="19">
        <f t="shared" ca="1" si="19"/>
        <v>520</v>
      </c>
      <c r="S80" s="15">
        <f t="shared" ca="1" si="20"/>
        <v>0</v>
      </c>
    </row>
    <row r="81" spans="9:19">
      <c r="I81" s="15">
        <f t="shared" si="21"/>
        <v>77</v>
      </c>
      <c r="J81" s="16">
        <f t="shared" ca="1" si="11"/>
        <v>187</v>
      </c>
      <c r="K81" s="16">
        <f t="shared" ca="1" si="12"/>
        <v>187</v>
      </c>
      <c r="L81" s="16">
        <f t="shared" ca="1" si="13"/>
        <v>83</v>
      </c>
      <c r="M81" s="17">
        <f t="shared" ca="1" si="14"/>
        <v>935</v>
      </c>
      <c r="N81" s="17">
        <f t="shared" si="15"/>
        <v>-20</v>
      </c>
      <c r="O81" s="17">
        <f t="shared" si="16"/>
        <v>-810</v>
      </c>
      <c r="P81" s="18">
        <f t="shared" ca="1" si="17"/>
        <v>-41.5</v>
      </c>
      <c r="Q81" s="18">
        <f t="shared" ca="1" si="18"/>
        <v>124.5</v>
      </c>
      <c r="R81" s="19">
        <f t="shared" ca="1" si="19"/>
        <v>188</v>
      </c>
      <c r="S81" s="15">
        <f t="shared" ca="1" si="20"/>
        <v>0</v>
      </c>
    </row>
    <row r="82" spans="9:19">
      <c r="I82" s="15">
        <f t="shared" si="21"/>
        <v>78</v>
      </c>
      <c r="J82" s="16">
        <f t="shared" ca="1" si="11"/>
        <v>175</v>
      </c>
      <c r="K82" s="16">
        <f t="shared" ca="1" si="12"/>
        <v>175</v>
      </c>
      <c r="L82" s="16">
        <f t="shared" ca="1" si="13"/>
        <v>95</v>
      </c>
      <c r="M82" s="17">
        <f t="shared" ca="1" si="14"/>
        <v>875</v>
      </c>
      <c r="N82" s="17">
        <f t="shared" si="15"/>
        <v>-20</v>
      </c>
      <c r="O82" s="17">
        <f t="shared" si="16"/>
        <v>-810</v>
      </c>
      <c r="P82" s="18">
        <f t="shared" ca="1" si="17"/>
        <v>-47.5</v>
      </c>
      <c r="Q82" s="18">
        <f t="shared" ca="1" si="18"/>
        <v>142.5</v>
      </c>
      <c r="R82" s="19">
        <f t="shared" ca="1" si="19"/>
        <v>140</v>
      </c>
      <c r="S82" s="15">
        <f t="shared" ca="1" si="20"/>
        <v>0</v>
      </c>
    </row>
    <row r="83" spans="9:19">
      <c r="I83" s="15">
        <f t="shared" si="21"/>
        <v>79</v>
      </c>
      <c r="J83" s="16">
        <f t="shared" ca="1" si="11"/>
        <v>361</v>
      </c>
      <c r="K83" s="16">
        <f t="shared" ca="1" si="12"/>
        <v>270</v>
      </c>
      <c r="L83" s="16">
        <f t="shared" ca="1" si="13"/>
        <v>0</v>
      </c>
      <c r="M83" s="17">
        <f t="shared" ca="1" si="14"/>
        <v>1350</v>
      </c>
      <c r="N83" s="17">
        <f t="shared" si="15"/>
        <v>-20</v>
      </c>
      <c r="O83" s="17">
        <f t="shared" si="16"/>
        <v>-810</v>
      </c>
      <c r="P83" s="18">
        <f t="shared" ca="1" si="17"/>
        <v>0</v>
      </c>
      <c r="Q83" s="18">
        <f t="shared" ca="1" si="18"/>
        <v>0</v>
      </c>
      <c r="R83" s="19">
        <f t="shared" ca="1" si="19"/>
        <v>520</v>
      </c>
      <c r="S83" s="15">
        <f t="shared" ca="1" si="20"/>
        <v>0</v>
      </c>
    </row>
    <row r="84" spans="9:19">
      <c r="I84" s="15">
        <f t="shared" si="21"/>
        <v>80</v>
      </c>
      <c r="J84" s="16">
        <f t="shared" ca="1" si="11"/>
        <v>388</v>
      </c>
      <c r="K84" s="16">
        <f t="shared" ca="1" si="12"/>
        <v>270</v>
      </c>
      <c r="L84" s="16">
        <f t="shared" ca="1" si="13"/>
        <v>0</v>
      </c>
      <c r="M84" s="17">
        <f t="shared" ca="1" si="14"/>
        <v>1350</v>
      </c>
      <c r="N84" s="17">
        <f t="shared" si="15"/>
        <v>-20</v>
      </c>
      <c r="O84" s="17">
        <f t="shared" si="16"/>
        <v>-810</v>
      </c>
      <c r="P84" s="18">
        <f t="shared" ca="1" si="17"/>
        <v>0</v>
      </c>
      <c r="Q84" s="18">
        <f t="shared" ca="1" si="18"/>
        <v>0</v>
      </c>
      <c r="R84" s="19">
        <f t="shared" ca="1" si="19"/>
        <v>520</v>
      </c>
      <c r="S84" s="15">
        <f t="shared" ca="1" si="20"/>
        <v>0</v>
      </c>
    </row>
    <row r="85" spans="9:19">
      <c r="I85" s="15">
        <f t="shared" si="21"/>
        <v>81</v>
      </c>
      <c r="J85" s="16">
        <f t="shared" ca="1" si="11"/>
        <v>361</v>
      </c>
      <c r="K85" s="16">
        <f t="shared" ca="1" si="12"/>
        <v>270</v>
      </c>
      <c r="L85" s="16">
        <f t="shared" ca="1" si="13"/>
        <v>0</v>
      </c>
      <c r="M85" s="17">
        <f t="shared" ca="1" si="14"/>
        <v>1350</v>
      </c>
      <c r="N85" s="17">
        <f t="shared" si="15"/>
        <v>-20</v>
      </c>
      <c r="O85" s="17">
        <f t="shared" si="16"/>
        <v>-810</v>
      </c>
      <c r="P85" s="18">
        <f t="shared" ca="1" si="17"/>
        <v>0</v>
      </c>
      <c r="Q85" s="18">
        <f t="shared" ca="1" si="18"/>
        <v>0</v>
      </c>
      <c r="R85" s="19">
        <f t="shared" ca="1" si="19"/>
        <v>520</v>
      </c>
      <c r="S85" s="15">
        <f t="shared" ca="1" si="20"/>
        <v>0</v>
      </c>
    </row>
    <row r="86" spans="9:19">
      <c r="I86" s="15">
        <f t="shared" si="21"/>
        <v>82</v>
      </c>
      <c r="J86" s="16">
        <f t="shared" ca="1" si="11"/>
        <v>180</v>
      </c>
      <c r="K86" s="16">
        <f t="shared" ca="1" si="12"/>
        <v>180</v>
      </c>
      <c r="L86" s="16">
        <f t="shared" ca="1" si="13"/>
        <v>90</v>
      </c>
      <c r="M86" s="17">
        <f t="shared" ca="1" si="14"/>
        <v>900</v>
      </c>
      <c r="N86" s="17">
        <f t="shared" si="15"/>
        <v>-20</v>
      </c>
      <c r="O86" s="17">
        <f t="shared" si="16"/>
        <v>-810</v>
      </c>
      <c r="P86" s="18">
        <f t="shared" ca="1" si="17"/>
        <v>-45</v>
      </c>
      <c r="Q86" s="18">
        <f t="shared" ca="1" si="18"/>
        <v>135</v>
      </c>
      <c r="R86" s="19">
        <f t="shared" ca="1" si="19"/>
        <v>160</v>
      </c>
      <c r="S86" s="15">
        <f t="shared" ca="1" si="20"/>
        <v>0</v>
      </c>
    </row>
    <row r="87" spans="9:19">
      <c r="I87" s="15">
        <f t="shared" si="21"/>
        <v>83</v>
      </c>
      <c r="J87" s="16">
        <f t="shared" ca="1" si="11"/>
        <v>375</v>
      </c>
      <c r="K87" s="16">
        <f t="shared" ca="1" si="12"/>
        <v>270</v>
      </c>
      <c r="L87" s="16">
        <f t="shared" ca="1" si="13"/>
        <v>0</v>
      </c>
      <c r="M87" s="17">
        <f t="shared" ca="1" si="14"/>
        <v>1350</v>
      </c>
      <c r="N87" s="17">
        <f t="shared" si="15"/>
        <v>-20</v>
      </c>
      <c r="O87" s="17">
        <f t="shared" si="16"/>
        <v>-810</v>
      </c>
      <c r="P87" s="18">
        <f t="shared" ca="1" si="17"/>
        <v>0</v>
      </c>
      <c r="Q87" s="18">
        <f t="shared" ca="1" si="18"/>
        <v>0</v>
      </c>
      <c r="R87" s="19">
        <f t="shared" ca="1" si="19"/>
        <v>520</v>
      </c>
      <c r="S87" s="15">
        <f t="shared" ca="1" si="20"/>
        <v>0</v>
      </c>
    </row>
    <row r="88" spans="9:19">
      <c r="I88" s="15">
        <f t="shared" si="21"/>
        <v>84</v>
      </c>
      <c r="J88" s="16">
        <f t="shared" ca="1" si="11"/>
        <v>318</v>
      </c>
      <c r="K88" s="16">
        <f t="shared" ca="1" si="12"/>
        <v>270</v>
      </c>
      <c r="L88" s="16">
        <f t="shared" ca="1" si="13"/>
        <v>0</v>
      </c>
      <c r="M88" s="17">
        <f t="shared" ca="1" si="14"/>
        <v>1350</v>
      </c>
      <c r="N88" s="17">
        <f t="shared" si="15"/>
        <v>-20</v>
      </c>
      <c r="O88" s="17">
        <f t="shared" si="16"/>
        <v>-810</v>
      </c>
      <c r="P88" s="18">
        <f t="shared" ca="1" si="17"/>
        <v>0</v>
      </c>
      <c r="Q88" s="18">
        <f t="shared" ca="1" si="18"/>
        <v>0</v>
      </c>
      <c r="R88" s="19">
        <f t="shared" ca="1" si="19"/>
        <v>520</v>
      </c>
      <c r="S88" s="15">
        <f t="shared" ca="1" si="20"/>
        <v>0</v>
      </c>
    </row>
    <row r="89" spans="9:19">
      <c r="I89" s="15">
        <f t="shared" si="21"/>
        <v>85</v>
      </c>
      <c r="J89" s="16">
        <f t="shared" ca="1" si="11"/>
        <v>346</v>
      </c>
      <c r="K89" s="16">
        <f t="shared" ca="1" si="12"/>
        <v>270</v>
      </c>
      <c r="L89" s="16">
        <f t="shared" ca="1" si="13"/>
        <v>0</v>
      </c>
      <c r="M89" s="17">
        <f t="shared" ca="1" si="14"/>
        <v>1350</v>
      </c>
      <c r="N89" s="17">
        <f t="shared" si="15"/>
        <v>-20</v>
      </c>
      <c r="O89" s="17">
        <f t="shared" si="16"/>
        <v>-810</v>
      </c>
      <c r="P89" s="18">
        <f t="shared" ca="1" si="17"/>
        <v>0</v>
      </c>
      <c r="Q89" s="18">
        <f t="shared" ca="1" si="18"/>
        <v>0</v>
      </c>
      <c r="R89" s="19">
        <f t="shared" ca="1" si="19"/>
        <v>520</v>
      </c>
      <c r="S89" s="15">
        <f t="shared" ca="1" si="20"/>
        <v>0</v>
      </c>
    </row>
    <row r="90" spans="9:19">
      <c r="I90" s="15">
        <f t="shared" si="21"/>
        <v>86</v>
      </c>
      <c r="J90" s="16">
        <f t="shared" ca="1" si="11"/>
        <v>408</v>
      </c>
      <c r="K90" s="16">
        <f t="shared" ca="1" si="12"/>
        <v>270</v>
      </c>
      <c r="L90" s="16">
        <f t="shared" ca="1" si="13"/>
        <v>0</v>
      </c>
      <c r="M90" s="17">
        <f t="shared" ca="1" si="14"/>
        <v>1350</v>
      </c>
      <c r="N90" s="17">
        <f t="shared" si="15"/>
        <v>-20</v>
      </c>
      <c r="O90" s="17">
        <f t="shared" si="16"/>
        <v>-810</v>
      </c>
      <c r="P90" s="18">
        <f t="shared" ca="1" si="17"/>
        <v>0</v>
      </c>
      <c r="Q90" s="18">
        <f t="shared" ca="1" si="18"/>
        <v>0</v>
      </c>
      <c r="R90" s="19">
        <f t="shared" ca="1" si="19"/>
        <v>520</v>
      </c>
      <c r="S90" s="15">
        <f t="shared" ca="1" si="20"/>
        <v>0</v>
      </c>
    </row>
    <row r="91" spans="9:19">
      <c r="I91" s="15">
        <f t="shared" si="21"/>
        <v>87</v>
      </c>
      <c r="J91" s="16">
        <f t="shared" ca="1" si="11"/>
        <v>420</v>
      </c>
      <c r="K91" s="16">
        <f t="shared" ca="1" si="12"/>
        <v>270</v>
      </c>
      <c r="L91" s="16">
        <f t="shared" ca="1" si="13"/>
        <v>0</v>
      </c>
      <c r="M91" s="17">
        <f t="shared" ca="1" si="14"/>
        <v>1350</v>
      </c>
      <c r="N91" s="17">
        <f t="shared" si="15"/>
        <v>-20</v>
      </c>
      <c r="O91" s="17">
        <f t="shared" si="16"/>
        <v>-810</v>
      </c>
      <c r="P91" s="18">
        <f t="shared" ca="1" si="17"/>
        <v>0</v>
      </c>
      <c r="Q91" s="18">
        <f t="shared" ca="1" si="18"/>
        <v>0</v>
      </c>
      <c r="R91" s="19">
        <f t="shared" ca="1" si="19"/>
        <v>520</v>
      </c>
      <c r="S91" s="15">
        <f t="shared" ca="1" si="20"/>
        <v>0</v>
      </c>
    </row>
    <row r="92" spans="9:19">
      <c r="I92" s="15">
        <f t="shared" si="21"/>
        <v>88</v>
      </c>
      <c r="J92" s="16">
        <f t="shared" ca="1" si="11"/>
        <v>316</v>
      </c>
      <c r="K92" s="16">
        <f t="shared" ca="1" si="12"/>
        <v>270</v>
      </c>
      <c r="L92" s="16">
        <f t="shared" ca="1" si="13"/>
        <v>0</v>
      </c>
      <c r="M92" s="17">
        <f t="shared" ca="1" si="14"/>
        <v>1350</v>
      </c>
      <c r="N92" s="17">
        <f t="shared" si="15"/>
        <v>-20</v>
      </c>
      <c r="O92" s="17">
        <f t="shared" si="16"/>
        <v>-810</v>
      </c>
      <c r="P92" s="18">
        <f t="shared" ca="1" si="17"/>
        <v>0</v>
      </c>
      <c r="Q92" s="18">
        <f t="shared" ca="1" si="18"/>
        <v>0</v>
      </c>
      <c r="R92" s="19">
        <f t="shared" ca="1" si="19"/>
        <v>520</v>
      </c>
      <c r="S92" s="15">
        <f t="shared" ca="1" si="20"/>
        <v>0</v>
      </c>
    </row>
    <row r="93" spans="9:19">
      <c r="I93" s="15">
        <f t="shared" si="21"/>
        <v>89</v>
      </c>
      <c r="J93" s="16">
        <f t="shared" ca="1" si="11"/>
        <v>386</v>
      </c>
      <c r="K93" s="16">
        <f t="shared" ca="1" si="12"/>
        <v>270</v>
      </c>
      <c r="L93" s="16">
        <f t="shared" ca="1" si="13"/>
        <v>0</v>
      </c>
      <c r="M93" s="17">
        <f t="shared" ca="1" si="14"/>
        <v>1350</v>
      </c>
      <c r="N93" s="17">
        <f t="shared" si="15"/>
        <v>-20</v>
      </c>
      <c r="O93" s="17">
        <f t="shared" si="16"/>
        <v>-810</v>
      </c>
      <c r="P93" s="18">
        <f t="shared" ca="1" si="17"/>
        <v>0</v>
      </c>
      <c r="Q93" s="18">
        <f t="shared" ca="1" si="18"/>
        <v>0</v>
      </c>
      <c r="R93" s="19">
        <f t="shared" ca="1" si="19"/>
        <v>520</v>
      </c>
      <c r="S93" s="15">
        <f t="shared" ca="1" si="20"/>
        <v>0</v>
      </c>
    </row>
    <row r="94" spans="9:19">
      <c r="I94" s="15">
        <f t="shared" si="21"/>
        <v>90</v>
      </c>
      <c r="J94" s="16">
        <f t="shared" ca="1" si="11"/>
        <v>300</v>
      </c>
      <c r="K94" s="16">
        <f t="shared" ca="1" si="12"/>
        <v>270</v>
      </c>
      <c r="L94" s="16">
        <f t="shared" ca="1" si="13"/>
        <v>0</v>
      </c>
      <c r="M94" s="17">
        <f t="shared" ca="1" si="14"/>
        <v>1350</v>
      </c>
      <c r="N94" s="17">
        <f t="shared" si="15"/>
        <v>-20</v>
      </c>
      <c r="O94" s="17">
        <f t="shared" si="16"/>
        <v>-810</v>
      </c>
      <c r="P94" s="18">
        <f t="shared" ca="1" si="17"/>
        <v>0</v>
      </c>
      <c r="Q94" s="18">
        <f t="shared" ca="1" si="18"/>
        <v>0</v>
      </c>
      <c r="R94" s="19">
        <f t="shared" ca="1" si="19"/>
        <v>520</v>
      </c>
      <c r="S94" s="15">
        <f t="shared" ca="1" si="20"/>
        <v>0</v>
      </c>
    </row>
    <row r="95" spans="9:19">
      <c r="I95" s="15">
        <f t="shared" si="21"/>
        <v>91</v>
      </c>
      <c r="J95" s="16">
        <f t="shared" ca="1" si="11"/>
        <v>150</v>
      </c>
      <c r="K95" s="16">
        <f t="shared" ca="1" si="12"/>
        <v>150</v>
      </c>
      <c r="L95" s="16">
        <f t="shared" ca="1" si="13"/>
        <v>120</v>
      </c>
      <c r="M95" s="17">
        <f t="shared" ca="1" si="14"/>
        <v>750</v>
      </c>
      <c r="N95" s="17">
        <f t="shared" si="15"/>
        <v>-20</v>
      </c>
      <c r="O95" s="17">
        <f t="shared" si="16"/>
        <v>-810</v>
      </c>
      <c r="P95" s="18">
        <f t="shared" ca="1" si="17"/>
        <v>-60</v>
      </c>
      <c r="Q95" s="18">
        <f t="shared" ca="1" si="18"/>
        <v>180</v>
      </c>
      <c r="R95" s="19">
        <f t="shared" ca="1" si="19"/>
        <v>40</v>
      </c>
      <c r="S95" s="15">
        <f t="shared" ca="1" si="20"/>
        <v>0</v>
      </c>
    </row>
    <row r="96" spans="9:19">
      <c r="I96" s="15">
        <f t="shared" si="21"/>
        <v>92</v>
      </c>
      <c r="J96" s="16">
        <f t="shared" ca="1" si="11"/>
        <v>360</v>
      </c>
      <c r="K96" s="16">
        <f t="shared" ca="1" si="12"/>
        <v>270</v>
      </c>
      <c r="L96" s="16">
        <f t="shared" ca="1" si="13"/>
        <v>0</v>
      </c>
      <c r="M96" s="17">
        <f t="shared" ca="1" si="14"/>
        <v>1350</v>
      </c>
      <c r="N96" s="17">
        <f t="shared" si="15"/>
        <v>-20</v>
      </c>
      <c r="O96" s="17">
        <f t="shared" si="16"/>
        <v>-810</v>
      </c>
      <c r="P96" s="18">
        <f t="shared" ca="1" si="17"/>
        <v>0</v>
      </c>
      <c r="Q96" s="18">
        <f t="shared" ca="1" si="18"/>
        <v>0</v>
      </c>
      <c r="R96" s="19">
        <f t="shared" ca="1" si="19"/>
        <v>520</v>
      </c>
      <c r="S96" s="15">
        <f t="shared" ca="1" si="20"/>
        <v>0</v>
      </c>
    </row>
    <row r="97" spans="9:19">
      <c r="I97" s="15">
        <f t="shared" si="21"/>
        <v>93</v>
      </c>
      <c r="J97" s="16">
        <f t="shared" ca="1" si="11"/>
        <v>121</v>
      </c>
      <c r="K97" s="16">
        <f t="shared" ca="1" si="12"/>
        <v>121</v>
      </c>
      <c r="L97" s="16">
        <f t="shared" ca="1" si="13"/>
        <v>149</v>
      </c>
      <c r="M97" s="17">
        <f t="shared" ca="1" si="14"/>
        <v>605</v>
      </c>
      <c r="N97" s="17">
        <f t="shared" si="15"/>
        <v>-20</v>
      </c>
      <c r="O97" s="17">
        <f t="shared" si="16"/>
        <v>-810</v>
      </c>
      <c r="P97" s="18">
        <f t="shared" ca="1" si="17"/>
        <v>-74.5</v>
      </c>
      <c r="Q97" s="18">
        <f t="shared" ca="1" si="18"/>
        <v>223.5</v>
      </c>
      <c r="R97" s="19">
        <f t="shared" ca="1" si="19"/>
        <v>-76</v>
      </c>
      <c r="S97" s="15">
        <f t="shared" ca="1" si="20"/>
        <v>1</v>
      </c>
    </row>
    <row r="98" spans="9:19">
      <c r="I98" s="15">
        <f t="shared" si="21"/>
        <v>94</v>
      </c>
      <c r="J98" s="16">
        <f t="shared" ca="1" si="11"/>
        <v>151</v>
      </c>
      <c r="K98" s="16">
        <f t="shared" ca="1" si="12"/>
        <v>151</v>
      </c>
      <c r="L98" s="16">
        <f t="shared" ca="1" si="13"/>
        <v>119</v>
      </c>
      <c r="M98" s="17">
        <f t="shared" ca="1" si="14"/>
        <v>755</v>
      </c>
      <c r="N98" s="17">
        <f t="shared" si="15"/>
        <v>-20</v>
      </c>
      <c r="O98" s="17">
        <f t="shared" si="16"/>
        <v>-810</v>
      </c>
      <c r="P98" s="18">
        <f t="shared" ca="1" si="17"/>
        <v>-59.5</v>
      </c>
      <c r="Q98" s="18">
        <f t="shared" ca="1" si="18"/>
        <v>178.5</v>
      </c>
      <c r="R98" s="19">
        <f t="shared" ca="1" si="19"/>
        <v>44</v>
      </c>
      <c r="S98" s="15">
        <f t="shared" ca="1" si="20"/>
        <v>0</v>
      </c>
    </row>
    <row r="99" spans="9:19">
      <c r="I99" s="15">
        <f t="shared" si="21"/>
        <v>95</v>
      </c>
      <c r="J99" s="16">
        <f t="shared" ca="1" si="11"/>
        <v>354</v>
      </c>
      <c r="K99" s="16">
        <f t="shared" ca="1" si="12"/>
        <v>270</v>
      </c>
      <c r="L99" s="16">
        <f t="shared" ca="1" si="13"/>
        <v>0</v>
      </c>
      <c r="M99" s="17">
        <f t="shared" ca="1" si="14"/>
        <v>1350</v>
      </c>
      <c r="N99" s="17">
        <f t="shared" si="15"/>
        <v>-20</v>
      </c>
      <c r="O99" s="17">
        <f t="shared" si="16"/>
        <v>-810</v>
      </c>
      <c r="P99" s="18">
        <f t="shared" ca="1" si="17"/>
        <v>0</v>
      </c>
      <c r="Q99" s="18">
        <f t="shared" ca="1" si="18"/>
        <v>0</v>
      </c>
      <c r="R99" s="19">
        <f t="shared" ca="1" si="19"/>
        <v>520</v>
      </c>
      <c r="S99" s="15">
        <f t="shared" ca="1" si="20"/>
        <v>0</v>
      </c>
    </row>
    <row r="100" spans="9:19">
      <c r="I100" s="15">
        <f t="shared" si="21"/>
        <v>96</v>
      </c>
      <c r="J100" s="16">
        <f t="shared" ca="1" si="11"/>
        <v>160</v>
      </c>
      <c r="K100" s="16">
        <f t="shared" ca="1" si="12"/>
        <v>160</v>
      </c>
      <c r="L100" s="16">
        <f t="shared" ca="1" si="13"/>
        <v>110</v>
      </c>
      <c r="M100" s="17">
        <f t="shared" ca="1" si="14"/>
        <v>800</v>
      </c>
      <c r="N100" s="17">
        <f t="shared" si="15"/>
        <v>-20</v>
      </c>
      <c r="O100" s="17">
        <f t="shared" si="16"/>
        <v>-810</v>
      </c>
      <c r="P100" s="18">
        <f t="shared" ca="1" si="17"/>
        <v>-55</v>
      </c>
      <c r="Q100" s="18">
        <f t="shared" ca="1" si="18"/>
        <v>165</v>
      </c>
      <c r="R100" s="19">
        <f t="shared" ca="1" si="19"/>
        <v>80</v>
      </c>
      <c r="S100" s="15">
        <f t="shared" ca="1" si="20"/>
        <v>0</v>
      </c>
    </row>
    <row r="101" spans="9:19">
      <c r="I101" s="15">
        <f t="shared" si="21"/>
        <v>97</v>
      </c>
      <c r="J101" s="16">
        <f t="shared" ca="1" si="11"/>
        <v>406</v>
      </c>
      <c r="K101" s="16">
        <f t="shared" ca="1" si="12"/>
        <v>270</v>
      </c>
      <c r="L101" s="16">
        <f t="shared" ca="1" si="13"/>
        <v>0</v>
      </c>
      <c r="M101" s="17">
        <f t="shared" ca="1" si="14"/>
        <v>1350</v>
      </c>
      <c r="N101" s="17">
        <f t="shared" si="15"/>
        <v>-20</v>
      </c>
      <c r="O101" s="17">
        <f t="shared" si="16"/>
        <v>-810</v>
      </c>
      <c r="P101" s="18">
        <f t="shared" ca="1" si="17"/>
        <v>0</v>
      </c>
      <c r="Q101" s="18">
        <f t="shared" ca="1" si="18"/>
        <v>0</v>
      </c>
      <c r="R101" s="19">
        <f t="shared" ca="1" si="19"/>
        <v>520</v>
      </c>
      <c r="S101" s="15">
        <f t="shared" ca="1" si="20"/>
        <v>0</v>
      </c>
    </row>
    <row r="102" spans="9:19">
      <c r="I102" s="15">
        <f t="shared" si="21"/>
        <v>98</v>
      </c>
      <c r="J102" s="16">
        <f t="shared" ca="1" si="11"/>
        <v>211</v>
      </c>
      <c r="K102" s="16">
        <f t="shared" ca="1" si="12"/>
        <v>211</v>
      </c>
      <c r="L102" s="16">
        <f t="shared" ca="1" si="13"/>
        <v>59</v>
      </c>
      <c r="M102" s="17">
        <f t="shared" ca="1" si="14"/>
        <v>1055</v>
      </c>
      <c r="N102" s="17">
        <f t="shared" si="15"/>
        <v>-20</v>
      </c>
      <c r="O102" s="17">
        <f t="shared" si="16"/>
        <v>-810</v>
      </c>
      <c r="P102" s="18">
        <f t="shared" ca="1" si="17"/>
        <v>-29.5</v>
      </c>
      <c r="Q102" s="18">
        <f t="shared" ca="1" si="18"/>
        <v>88.5</v>
      </c>
      <c r="R102" s="19">
        <f t="shared" ca="1" si="19"/>
        <v>284</v>
      </c>
      <c r="S102" s="15">
        <f t="shared" ca="1" si="20"/>
        <v>0</v>
      </c>
    </row>
    <row r="103" spans="9:19">
      <c r="I103" s="15">
        <f t="shared" si="21"/>
        <v>99</v>
      </c>
      <c r="J103" s="16">
        <f t="shared" ca="1" si="11"/>
        <v>408</v>
      </c>
      <c r="K103" s="16">
        <f t="shared" ca="1" si="12"/>
        <v>270</v>
      </c>
      <c r="L103" s="16">
        <f t="shared" ca="1" si="13"/>
        <v>0</v>
      </c>
      <c r="M103" s="17">
        <f t="shared" ca="1" si="14"/>
        <v>1350</v>
      </c>
      <c r="N103" s="17">
        <f t="shared" si="15"/>
        <v>-20</v>
      </c>
      <c r="O103" s="17">
        <f t="shared" si="16"/>
        <v>-810</v>
      </c>
      <c r="P103" s="18">
        <f t="shared" ca="1" si="17"/>
        <v>0</v>
      </c>
      <c r="Q103" s="18">
        <f t="shared" ca="1" si="18"/>
        <v>0</v>
      </c>
      <c r="R103" s="19">
        <f t="shared" ca="1" si="19"/>
        <v>520</v>
      </c>
      <c r="S103" s="15">
        <f t="shared" ca="1" si="20"/>
        <v>0</v>
      </c>
    </row>
    <row r="104" spans="9:19">
      <c r="I104" s="15">
        <f t="shared" si="21"/>
        <v>100</v>
      </c>
      <c r="J104" s="16">
        <f t="shared" ca="1" si="11"/>
        <v>389</v>
      </c>
      <c r="K104" s="16">
        <f t="shared" ca="1" si="12"/>
        <v>270</v>
      </c>
      <c r="L104" s="16">
        <f t="shared" ca="1" si="13"/>
        <v>0</v>
      </c>
      <c r="M104" s="17">
        <f t="shared" ca="1" si="14"/>
        <v>1350</v>
      </c>
      <c r="N104" s="17">
        <f t="shared" si="15"/>
        <v>-20</v>
      </c>
      <c r="O104" s="17">
        <f t="shared" si="16"/>
        <v>-810</v>
      </c>
      <c r="P104" s="18">
        <f t="shared" ca="1" si="17"/>
        <v>0</v>
      </c>
      <c r="Q104" s="18">
        <f t="shared" ca="1" si="18"/>
        <v>0</v>
      </c>
      <c r="R104" s="19">
        <f t="shared" ca="1" si="19"/>
        <v>520</v>
      </c>
      <c r="S104" s="15">
        <f t="shared" ca="1" si="20"/>
        <v>0</v>
      </c>
    </row>
    <row r="105" spans="9:19">
      <c r="I105" s="15">
        <f t="shared" si="21"/>
        <v>101</v>
      </c>
      <c r="J105" s="16">
        <f t="shared" ca="1" si="11"/>
        <v>214</v>
      </c>
      <c r="K105" s="16">
        <f t="shared" ca="1" si="12"/>
        <v>214</v>
      </c>
      <c r="L105" s="16">
        <f t="shared" ca="1" si="13"/>
        <v>56</v>
      </c>
      <c r="M105" s="17">
        <f t="shared" ca="1" si="14"/>
        <v>1070</v>
      </c>
      <c r="N105" s="17">
        <f t="shared" si="15"/>
        <v>-20</v>
      </c>
      <c r="O105" s="17">
        <f t="shared" si="16"/>
        <v>-810</v>
      </c>
      <c r="P105" s="18">
        <f t="shared" ca="1" si="17"/>
        <v>-28</v>
      </c>
      <c r="Q105" s="18">
        <f t="shared" ca="1" si="18"/>
        <v>84</v>
      </c>
      <c r="R105" s="19">
        <f t="shared" ca="1" si="19"/>
        <v>296</v>
      </c>
      <c r="S105" s="15">
        <f t="shared" ca="1" si="20"/>
        <v>0</v>
      </c>
    </row>
    <row r="106" spans="9:19">
      <c r="I106" s="15">
        <f t="shared" si="21"/>
        <v>102</v>
      </c>
      <c r="J106" s="16">
        <f t="shared" ca="1" si="11"/>
        <v>218</v>
      </c>
      <c r="K106" s="16">
        <f t="shared" ca="1" si="12"/>
        <v>218</v>
      </c>
      <c r="L106" s="16">
        <f t="shared" ca="1" si="13"/>
        <v>52</v>
      </c>
      <c r="M106" s="17">
        <f t="shared" ca="1" si="14"/>
        <v>1090</v>
      </c>
      <c r="N106" s="17">
        <f t="shared" si="15"/>
        <v>-20</v>
      </c>
      <c r="O106" s="17">
        <f t="shared" si="16"/>
        <v>-810</v>
      </c>
      <c r="P106" s="18">
        <f t="shared" ca="1" si="17"/>
        <v>-26</v>
      </c>
      <c r="Q106" s="18">
        <f t="shared" ca="1" si="18"/>
        <v>78</v>
      </c>
      <c r="R106" s="19">
        <f t="shared" ca="1" si="19"/>
        <v>312</v>
      </c>
      <c r="S106" s="15">
        <f t="shared" ca="1" si="20"/>
        <v>0</v>
      </c>
    </row>
    <row r="107" spans="9:19">
      <c r="I107" s="15">
        <f t="shared" si="21"/>
        <v>103</v>
      </c>
      <c r="J107" s="16">
        <f t="shared" ca="1" si="11"/>
        <v>277</v>
      </c>
      <c r="K107" s="16">
        <f t="shared" ca="1" si="12"/>
        <v>270</v>
      </c>
      <c r="L107" s="16">
        <f t="shared" ca="1" si="13"/>
        <v>0</v>
      </c>
      <c r="M107" s="17">
        <f t="shared" ca="1" si="14"/>
        <v>1350</v>
      </c>
      <c r="N107" s="17">
        <f t="shared" si="15"/>
        <v>-20</v>
      </c>
      <c r="O107" s="17">
        <f t="shared" si="16"/>
        <v>-810</v>
      </c>
      <c r="P107" s="18">
        <f t="shared" ca="1" si="17"/>
        <v>0</v>
      </c>
      <c r="Q107" s="18">
        <f t="shared" ca="1" si="18"/>
        <v>0</v>
      </c>
      <c r="R107" s="19">
        <f t="shared" ca="1" si="19"/>
        <v>520</v>
      </c>
      <c r="S107" s="15">
        <f t="shared" ca="1" si="20"/>
        <v>0</v>
      </c>
    </row>
    <row r="108" spans="9:19">
      <c r="I108" s="15">
        <f t="shared" si="21"/>
        <v>104</v>
      </c>
      <c r="J108" s="16">
        <f t="shared" ca="1" si="11"/>
        <v>399</v>
      </c>
      <c r="K108" s="16">
        <f t="shared" ca="1" si="12"/>
        <v>270</v>
      </c>
      <c r="L108" s="16">
        <f t="shared" ca="1" si="13"/>
        <v>0</v>
      </c>
      <c r="M108" s="17">
        <f t="shared" ca="1" si="14"/>
        <v>1350</v>
      </c>
      <c r="N108" s="17">
        <f t="shared" si="15"/>
        <v>-20</v>
      </c>
      <c r="O108" s="17">
        <f t="shared" si="16"/>
        <v>-810</v>
      </c>
      <c r="P108" s="18">
        <f t="shared" ca="1" si="17"/>
        <v>0</v>
      </c>
      <c r="Q108" s="18">
        <f t="shared" ca="1" si="18"/>
        <v>0</v>
      </c>
      <c r="R108" s="19">
        <f t="shared" ca="1" si="19"/>
        <v>520</v>
      </c>
      <c r="S108" s="15">
        <f t="shared" ca="1" si="20"/>
        <v>0</v>
      </c>
    </row>
    <row r="109" spans="9:19">
      <c r="I109" s="15">
        <f t="shared" si="21"/>
        <v>105</v>
      </c>
      <c r="J109" s="16">
        <f t="shared" ca="1" si="11"/>
        <v>216</v>
      </c>
      <c r="K109" s="16">
        <f t="shared" ca="1" si="12"/>
        <v>216</v>
      </c>
      <c r="L109" s="16">
        <f t="shared" ca="1" si="13"/>
        <v>54</v>
      </c>
      <c r="M109" s="17">
        <f t="shared" ca="1" si="14"/>
        <v>1080</v>
      </c>
      <c r="N109" s="17">
        <f t="shared" si="15"/>
        <v>-20</v>
      </c>
      <c r="O109" s="17">
        <f t="shared" si="16"/>
        <v>-810</v>
      </c>
      <c r="P109" s="18">
        <f t="shared" ca="1" si="17"/>
        <v>-27</v>
      </c>
      <c r="Q109" s="18">
        <f t="shared" ca="1" si="18"/>
        <v>81</v>
      </c>
      <c r="R109" s="19">
        <f t="shared" ca="1" si="19"/>
        <v>304</v>
      </c>
      <c r="S109" s="15">
        <f t="shared" ca="1" si="20"/>
        <v>0</v>
      </c>
    </row>
    <row r="110" spans="9:19">
      <c r="I110" s="15">
        <f t="shared" si="21"/>
        <v>106</v>
      </c>
      <c r="J110" s="16">
        <f t="shared" ca="1" si="11"/>
        <v>278</v>
      </c>
      <c r="K110" s="16">
        <f t="shared" ca="1" si="12"/>
        <v>270</v>
      </c>
      <c r="L110" s="16">
        <f t="shared" ca="1" si="13"/>
        <v>0</v>
      </c>
      <c r="M110" s="17">
        <f t="shared" ca="1" si="14"/>
        <v>1350</v>
      </c>
      <c r="N110" s="17">
        <f t="shared" si="15"/>
        <v>-20</v>
      </c>
      <c r="O110" s="17">
        <f t="shared" si="16"/>
        <v>-810</v>
      </c>
      <c r="P110" s="18">
        <f t="shared" ca="1" si="17"/>
        <v>0</v>
      </c>
      <c r="Q110" s="18">
        <f t="shared" ca="1" si="18"/>
        <v>0</v>
      </c>
      <c r="R110" s="19">
        <f t="shared" ca="1" si="19"/>
        <v>520</v>
      </c>
      <c r="S110" s="15">
        <f t="shared" ca="1" si="20"/>
        <v>0</v>
      </c>
    </row>
    <row r="111" spans="9:19">
      <c r="I111" s="15">
        <f t="shared" si="21"/>
        <v>107</v>
      </c>
      <c r="J111" s="16">
        <f t="shared" ca="1" si="11"/>
        <v>257</v>
      </c>
      <c r="K111" s="16">
        <f t="shared" ca="1" si="12"/>
        <v>257</v>
      </c>
      <c r="L111" s="16">
        <f t="shared" ca="1" si="13"/>
        <v>13</v>
      </c>
      <c r="M111" s="17">
        <f t="shared" ca="1" si="14"/>
        <v>1285</v>
      </c>
      <c r="N111" s="17">
        <f t="shared" si="15"/>
        <v>-20</v>
      </c>
      <c r="O111" s="17">
        <f t="shared" si="16"/>
        <v>-810</v>
      </c>
      <c r="P111" s="18">
        <f t="shared" ca="1" si="17"/>
        <v>-6.5</v>
      </c>
      <c r="Q111" s="18">
        <f t="shared" ca="1" si="18"/>
        <v>19.5</v>
      </c>
      <c r="R111" s="19">
        <f t="shared" ca="1" si="19"/>
        <v>468</v>
      </c>
      <c r="S111" s="15">
        <f t="shared" ca="1" si="20"/>
        <v>0</v>
      </c>
    </row>
    <row r="112" spans="9:19">
      <c r="I112" s="15">
        <f t="shared" si="21"/>
        <v>108</v>
      </c>
      <c r="J112" s="16">
        <f t="shared" ca="1" si="11"/>
        <v>310</v>
      </c>
      <c r="K112" s="16">
        <f t="shared" ca="1" si="12"/>
        <v>270</v>
      </c>
      <c r="L112" s="16">
        <f t="shared" ca="1" si="13"/>
        <v>0</v>
      </c>
      <c r="M112" s="17">
        <f t="shared" ca="1" si="14"/>
        <v>1350</v>
      </c>
      <c r="N112" s="17">
        <f t="shared" si="15"/>
        <v>-20</v>
      </c>
      <c r="O112" s="17">
        <f t="shared" si="16"/>
        <v>-810</v>
      </c>
      <c r="P112" s="18">
        <f t="shared" ca="1" si="17"/>
        <v>0</v>
      </c>
      <c r="Q112" s="18">
        <f t="shared" ca="1" si="18"/>
        <v>0</v>
      </c>
      <c r="R112" s="19">
        <f t="shared" ca="1" si="19"/>
        <v>520</v>
      </c>
      <c r="S112" s="15">
        <f t="shared" ca="1" si="20"/>
        <v>0</v>
      </c>
    </row>
    <row r="113" spans="9:19">
      <c r="I113" s="15">
        <f t="shared" si="21"/>
        <v>109</v>
      </c>
      <c r="J113" s="16">
        <f t="shared" ca="1" si="11"/>
        <v>367</v>
      </c>
      <c r="K113" s="16">
        <f t="shared" ca="1" si="12"/>
        <v>270</v>
      </c>
      <c r="L113" s="16">
        <f t="shared" ca="1" si="13"/>
        <v>0</v>
      </c>
      <c r="M113" s="17">
        <f t="shared" ca="1" si="14"/>
        <v>1350</v>
      </c>
      <c r="N113" s="17">
        <f t="shared" si="15"/>
        <v>-20</v>
      </c>
      <c r="O113" s="17">
        <f t="shared" si="16"/>
        <v>-810</v>
      </c>
      <c r="P113" s="18">
        <f t="shared" ca="1" si="17"/>
        <v>0</v>
      </c>
      <c r="Q113" s="18">
        <f t="shared" ca="1" si="18"/>
        <v>0</v>
      </c>
      <c r="R113" s="19">
        <f t="shared" ca="1" si="19"/>
        <v>520</v>
      </c>
      <c r="S113" s="15">
        <f t="shared" ca="1" si="20"/>
        <v>0</v>
      </c>
    </row>
    <row r="114" spans="9:19">
      <c r="I114" s="15">
        <f t="shared" si="21"/>
        <v>110</v>
      </c>
      <c r="J114" s="16">
        <f t="shared" ca="1" si="11"/>
        <v>298</v>
      </c>
      <c r="K114" s="16">
        <f t="shared" ca="1" si="12"/>
        <v>270</v>
      </c>
      <c r="L114" s="16">
        <f t="shared" ca="1" si="13"/>
        <v>0</v>
      </c>
      <c r="M114" s="17">
        <f t="shared" ca="1" si="14"/>
        <v>1350</v>
      </c>
      <c r="N114" s="17">
        <f t="shared" si="15"/>
        <v>-20</v>
      </c>
      <c r="O114" s="17">
        <f t="shared" si="16"/>
        <v>-810</v>
      </c>
      <c r="P114" s="18">
        <f t="shared" ca="1" si="17"/>
        <v>0</v>
      </c>
      <c r="Q114" s="18">
        <f t="shared" ca="1" si="18"/>
        <v>0</v>
      </c>
      <c r="R114" s="19">
        <f t="shared" ca="1" si="19"/>
        <v>520</v>
      </c>
      <c r="S114" s="15">
        <f t="shared" ca="1" si="20"/>
        <v>0</v>
      </c>
    </row>
    <row r="115" spans="9:19">
      <c r="I115" s="15">
        <f t="shared" si="21"/>
        <v>111</v>
      </c>
      <c r="J115" s="16">
        <f t="shared" ca="1" si="11"/>
        <v>395</v>
      </c>
      <c r="K115" s="16">
        <f t="shared" ca="1" si="12"/>
        <v>270</v>
      </c>
      <c r="L115" s="16">
        <f t="shared" ca="1" si="13"/>
        <v>0</v>
      </c>
      <c r="M115" s="17">
        <f t="shared" ca="1" si="14"/>
        <v>1350</v>
      </c>
      <c r="N115" s="17">
        <f t="shared" si="15"/>
        <v>-20</v>
      </c>
      <c r="O115" s="17">
        <f t="shared" si="16"/>
        <v>-810</v>
      </c>
      <c r="P115" s="18">
        <f t="shared" ca="1" si="17"/>
        <v>0</v>
      </c>
      <c r="Q115" s="18">
        <f t="shared" ca="1" si="18"/>
        <v>0</v>
      </c>
      <c r="R115" s="19">
        <f t="shared" ca="1" si="19"/>
        <v>520</v>
      </c>
      <c r="S115" s="15">
        <f t="shared" ca="1" si="20"/>
        <v>0</v>
      </c>
    </row>
    <row r="116" spans="9:19">
      <c r="I116" s="15">
        <f t="shared" si="21"/>
        <v>112</v>
      </c>
      <c r="J116" s="16">
        <f t="shared" ca="1" si="11"/>
        <v>121</v>
      </c>
      <c r="K116" s="16">
        <f t="shared" ca="1" si="12"/>
        <v>121</v>
      </c>
      <c r="L116" s="16">
        <f t="shared" ca="1" si="13"/>
        <v>149</v>
      </c>
      <c r="M116" s="17">
        <f t="shared" ca="1" si="14"/>
        <v>605</v>
      </c>
      <c r="N116" s="17">
        <f t="shared" si="15"/>
        <v>-20</v>
      </c>
      <c r="O116" s="17">
        <f t="shared" si="16"/>
        <v>-810</v>
      </c>
      <c r="P116" s="18">
        <f t="shared" ca="1" si="17"/>
        <v>-74.5</v>
      </c>
      <c r="Q116" s="18">
        <f t="shared" ca="1" si="18"/>
        <v>223.5</v>
      </c>
      <c r="R116" s="19">
        <f t="shared" ca="1" si="19"/>
        <v>-76</v>
      </c>
      <c r="S116" s="15">
        <f t="shared" ca="1" si="20"/>
        <v>1</v>
      </c>
    </row>
    <row r="117" spans="9:19">
      <c r="I117" s="15">
        <f t="shared" si="21"/>
        <v>113</v>
      </c>
      <c r="J117" s="16">
        <f t="shared" ca="1" si="11"/>
        <v>203</v>
      </c>
      <c r="K117" s="16">
        <f t="shared" ca="1" si="12"/>
        <v>203</v>
      </c>
      <c r="L117" s="16">
        <f t="shared" ca="1" si="13"/>
        <v>67</v>
      </c>
      <c r="M117" s="17">
        <f t="shared" ca="1" si="14"/>
        <v>1015</v>
      </c>
      <c r="N117" s="17">
        <f t="shared" si="15"/>
        <v>-20</v>
      </c>
      <c r="O117" s="17">
        <f t="shared" si="16"/>
        <v>-810</v>
      </c>
      <c r="P117" s="18">
        <f t="shared" ca="1" si="17"/>
        <v>-33.5</v>
      </c>
      <c r="Q117" s="18">
        <f t="shared" ca="1" si="18"/>
        <v>100.5</v>
      </c>
      <c r="R117" s="19">
        <f t="shared" ca="1" si="19"/>
        <v>252</v>
      </c>
      <c r="S117" s="15">
        <f t="shared" ca="1" si="20"/>
        <v>0</v>
      </c>
    </row>
    <row r="118" spans="9:19">
      <c r="I118" s="15">
        <f t="shared" si="21"/>
        <v>114</v>
      </c>
      <c r="J118" s="16">
        <f t="shared" ca="1" si="11"/>
        <v>139</v>
      </c>
      <c r="K118" s="16">
        <f t="shared" ca="1" si="12"/>
        <v>139</v>
      </c>
      <c r="L118" s="16">
        <f t="shared" ca="1" si="13"/>
        <v>131</v>
      </c>
      <c r="M118" s="17">
        <f t="shared" ca="1" si="14"/>
        <v>695</v>
      </c>
      <c r="N118" s="17">
        <f t="shared" si="15"/>
        <v>-20</v>
      </c>
      <c r="O118" s="17">
        <f t="shared" si="16"/>
        <v>-810</v>
      </c>
      <c r="P118" s="18">
        <f t="shared" ca="1" si="17"/>
        <v>-65.5</v>
      </c>
      <c r="Q118" s="18">
        <f t="shared" ca="1" si="18"/>
        <v>196.5</v>
      </c>
      <c r="R118" s="19">
        <f t="shared" ca="1" si="19"/>
        <v>-4</v>
      </c>
      <c r="S118" s="15">
        <f t="shared" ca="1" si="20"/>
        <v>1</v>
      </c>
    </row>
    <row r="119" spans="9:19">
      <c r="I119" s="15">
        <f t="shared" si="21"/>
        <v>115</v>
      </c>
      <c r="J119" s="16">
        <f t="shared" ca="1" si="11"/>
        <v>176</v>
      </c>
      <c r="K119" s="16">
        <f t="shared" ca="1" si="12"/>
        <v>176</v>
      </c>
      <c r="L119" s="16">
        <f t="shared" ca="1" si="13"/>
        <v>94</v>
      </c>
      <c r="M119" s="17">
        <f t="shared" ca="1" si="14"/>
        <v>880</v>
      </c>
      <c r="N119" s="17">
        <f t="shared" si="15"/>
        <v>-20</v>
      </c>
      <c r="O119" s="17">
        <f t="shared" si="16"/>
        <v>-810</v>
      </c>
      <c r="P119" s="18">
        <f t="shared" ca="1" si="17"/>
        <v>-47</v>
      </c>
      <c r="Q119" s="18">
        <f t="shared" ca="1" si="18"/>
        <v>141</v>
      </c>
      <c r="R119" s="19">
        <f t="shared" ca="1" si="19"/>
        <v>144</v>
      </c>
      <c r="S119" s="15">
        <f t="shared" ca="1" si="20"/>
        <v>0</v>
      </c>
    </row>
    <row r="120" spans="9:19">
      <c r="I120" s="15">
        <f t="shared" si="21"/>
        <v>116</v>
      </c>
      <c r="J120" s="16">
        <f t="shared" ca="1" si="11"/>
        <v>211</v>
      </c>
      <c r="K120" s="16">
        <f t="shared" ca="1" si="12"/>
        <v>211</v>
      </c>
      <c r="L120" s="16">
        <f t="shared" ca="1" si="13"/>
        <v>59</v>
      </c>
      <c r="M120" s="17">
        <f t="shared" ca="1" si="14"/>
        <v>1055</v>
      </c>
      <c r="N120" s="17">
        <f t="shared" si="15"/>
        <v>-20</v>
      </c>
      <c r="O120" s="17">
        <f t="shared" si="16"/>
        <v>-810</v>
      </c>
      <c r="P120" s="18">
        <f t="shared" ca="1" si="17"/>
        <v>-29.5</v>
      </c>
      <c r="Q120" s="18">
        <f t="shared" ca="1" si="18"/>
        <v>88.5</v>
      </c>
      <c r="R120" s="19">
        <f t="shared" ca="1" si="19"/>
        <v>284</v>
      </c>
      <c r="S120" s="15">
        <f t="shared" ca="1" si="20"/>
        <v>0</v>
      </c>
    </row>
    <row r="121" spans="9:19">
      <c r="I121" s="15">
        <f t="shared" si="21"/>
        <v>117</v>
      </c>
      <c r="J121" s="16">
        <f t="shared" ca="1" si="11"/>
        <v>326</v>
      </c>
      <c r="K121" s="16">
        <f t="shared" ca="1" si="12"/>
        <v>270</v>
      </c>
      <c r="L121" s="16">
        <f t="shared" ca="1" si="13"/>
        <v>0</v>
      </c>
      <c r="M121" s="17">
        <f t="shared" ca="1" si="14"/>
        <v>1350</v>
      </c>
      <c r="N121" s="17">
        <f t="shared" si="15"/>
        <v>-20</v>
      </c>
      <c r="O121" s="17">
        <f t="shared" si="16"/>
        <v>-810</v>
      </c>
      <c r="P121" s="18">
        <f t="shared" ca="1" si="17"/>
        <v>0</v>
      </c>
      <c r="Q121" s="18">
        <f t="shared" ca="1" si="18"/>
        <v>0</v>
      </c>
      <c r="R121" s="19">
        <f t="shared" ca="1" si="19"/>
        <v>520</v>
      </c>
      <c r="S121" s="15">
        <f t="shared" ca="1" si="20"/>
        <v>0</v>
      </c>
    </row>
    <row r="122" spans="9:19">
      <c r="I122" s="15">
        <f t="shared" si="21"/>
        <v>118</v>
      </c>
      <c r="J122" s="16">
        <f t="shared" ca="1" si="11"/>
        <v>306</v>
      </c>
      <c r="K122" s="16">
        <f t="shared" ca="1" si="12"/>
        <v>270</v>
      </c>
      <c r="L122" s="16">
        <f t="shared" ca="1" si="13"/>
        <v>0</v>
      </c>
      <c r="M122" s="17">
        <f t="shared" ca="1" si="14"/>
        <v>1350</v>
      </c>
      <c r="N122" s="17">
        <f t="shared" si="15"/>
        <v>-20</v>
      </c>
      <c r="O122" s="17">
        <f t="shared" si="16"/>
        <v>-810</v>
      </c>
      <c r="P122" s="18">
        <f t="shared" ca="1" si="17"/>
        <v>0</v>
      </c>
      <c r="Q122" s="18">
        <f t="shared" ca="1" si="18"/>
        <v>0</v>
      </c>
      <c r="R122" s="19">
        <f t="shared" ca="1" si="19"/>
        <v>520</v>
      </c>
      <c r="S122" s="15">
        <f t="shared" ca="1" si="20"/>
        <v>0</v>
      </c>
    </row>
    <row r="123" spans="9:19">
      <c r="I123" s="15">
        <f t="shared" si="21"/>
        <v>119</v>
      </c>
      <c r="J123" s="16">
        <f t="shared" ca="1" si="11"/>
        <v>318</v>
      </c>
      <c r="K123" s="16">
        <f t="shared" ca="1" si="12"/>
        <v>270</v>
      </c>
      <c r="L123" s="16">
        <f t="shared" ca="1" si="13"/>
        <v>0</v>
      </c>
      <c r="M123" s="17">
        <f t="shared" ca="1" si="14"/>
        <v>1350</v>
      </c>
      <c r="N123" s="17">
        <f t="shared" si="15"/>
        <v>-20</v>
      </c>
      <c r="O123" s="17">
        <f t="shared" si="16"/>
        <v>-810</v>
      </c>
      <c r="P123" s="18">
        <f t="shared" ca="1" si="17"/>
        <v>0</v>
      </c>
      <c r="Q123" s="18">
        <f t="shared" ca="1" si="18"/>
        <v>0</v>
      </c>
      <c r="R123" s="19">
        <f t="shared" ca="1" si="19"/>
        <v>520</v>
      </c>
      <c r="S123" s="15">
        <f t="shared" ca="1" si="20"/>
        <v>0</v>
      </c>
    </row>
    <row r="124" spans="9:19">
      <c r="I124" s="15">
        <f t="shared" si="21"/>
        <v>120</v>
      </c>
      <c r="J124" s="16">
        <f t="shared" ca="1" si="11"/>
        <v>353</v>
      </c>
      <c r="K124" s="16">
        <f t="shared" ca="1" si="12"/>
        <v>270</v>
      </c>
      <c r="L124" s="16">
        <f t="shared" ca="1" si="13"/>
        <v>0</v>
      </c>
      <c r="M124" s="17">
        <f t="shared" ca="1" si="14"/>
        <v>1350</v>
      </c>
      <c r="N124" s="17">
        <f t="shared" si="15"/>
        <v>-20</v>
      </c>
      <c r="O124" s="17">
        <f t="shared" si="16"/>
        <v>-810</v>
      </c>
      <c r="P124" s="18">
        <f t="shared" ca="1" si="17"/>
        <v>0</v>
      </c>
      <c r="Q124" s="18">
        <f t="shared" ca="1" si="18"/>
        <v>0</v>
      </c>
      <c r="R124" s="19">
        <f t="shared" ca="1" si="19"/>
        <v>520</v>
      </c>
      <c r="S124" s="15">
        <f t="shared" ca="1" si="20"/>
        <v>0</v>
      </c>
    </row>
    <row r="125" spans="9:19">
      <c r="I125" s="15">
        <f t="shared" si="21"/>
        <v>121</v>
      </c>
      <c r="J125" s="16">
        <f t="shared" ca="1" si="11"/>
        <v>226</v>
      </c>
      <c r="K125" s="16">
        <f t="shared" ca="1" si="12"/>
        <v>226</v>
      </c>
      <c r="L125" s="16">
        <f t="shared" ca="1" si="13"/>
        <v>44</v>
      </c>
      <c r="M125" s="17">
        <f t="shared" ca="1" si="14"/>
        <v>1130</v>
      </c>
      <c r="N125" s="17">
        <f t="shared" si="15"/>
        <v>-20</v>
      </c>
      <c r="O125" s="17">
        <f t="shared" si="16"/>
        <v>-810</v>
      </c>
      <c r="P125" s="18">
        <f t="shared" ca="1" si="17"/>
        <v>-22</v>
      </c>
      <c r="Q125" s="18">
        <f t="shared" ca="1" si="18"/>
        <v>66</v>
      </c>
      <c r="R125" s="19">
        <f t="shared" ca="1" si="19"/>
        <v>344</v>
      </c>
      <c r="S125" s="15">
        <f t="shared" ca="1" si="20"/>
        <v>0</v>
      </c>
    </row>
    <row r="126" spans="9:19">
      <c r="I126" s="15">
        <f t="shared" si="21"/>
        <v>122</v>
      </c>
      <c r="J126" s="16">
        <f t="shared" ca="1" si="11"/>
        <v>372</v>
      </c>
      <c r="K126" s="16">
        <f t="shared" ca="1" si="12"/>
        <v>270</v>
      </c>
      <c r="L126" s="16">
        <f t="shared" ca="1" si="13"/>
        <v>0</v>
      </c>
      <c r="M126" s="17">
        <f t="shared" ca="1" si="14"/>
        <v>1350</v>
      </c>
      <c r="N126" s="17">
        <f t="shared" si="15"/>
        <v>-20</v>
      </c>
      <c r="O126" s="17">
        <f t="shared" si="16"/>
        <v>-810</v>
      </c>
      <c r="P126" s="18">
        <f t="shared" ca="1" si="17"/>
        <v>0</v>
      </c>
      <c r="Q126" s="18">
        <f t="shared" ca="1" si="18"/>
        <v>0</v>
      </c>
      <c r="R126" s="19">
        <f t="shared" ca="1" si="19"/>
        <v>520</v>
      </c>
      <c r="S126" s="15">
        <f t="shared" ca="1" si="20"/>
        <v>0</v>
      </c>
    </row>
    <row r="127" spans="9:19">
      <c r="I127" s="15">
        <f t="shared" si="21"/>
        <v>123</v>
      </c>
      <c r="J127" s="16">
        <f t="shared" ca="1" si="11"/>
        <v>343</v>
      </c>
      <c r="K127" s="16">
        <f t="shared" ca="1" si="12"/>
        <v>270</v>
      </c>
      <c r="L127" s="16">
        <f t="shared" ca="1" si="13"/>
        <v>0</v>
      </c>
      <c r="M127" s="17">
        <f t="shared" ca="1" si="14"/>
        <v>1350</v>
      </c>
      <c r="N127" s="17">
        <f t="shared" si="15"/>
        <v>-20</v>
      </c>
      <c r="O127" s="17">
        <f t="shared" si="16"/>
        <v>-810</v>
      </c>
      <c r="P127" s="18">
        <f t="shared" ca="1" si="17"/>
        <v>0</v>
      </c>
      <c r="Q127" s="18">
        <f t="shared" ca="1" si="18"/>
        <v>0</v>
      </c>
      <c r="R127" s="19">
        <f t="shared" ca="1" si="19"/>
        <v>520</v>
      </c>
      <c r="S127" s="15">
        <f t="shared" ca="1" si="20"/>
        <v>0</v>
      </c>
    </row>
    <row r="128" spans="9:19">
      <c r="I128" s="15">
        <f t="shared" si="21"/>
        <v>124</v>
      </c>
      <c r="J128" s="16">
        <f t="shared" ca="1" si="11"/>
        <v>384</v>
      </c>
      <c r="K128" s="16">
        <f t="shared" ca="1" si="12"/>
        <v>270</v>
      </c>
      <c r="L128" s="16">
        <f t="shared" ca="1" si="13"/>
        <v>0</v>
      </c>
      <c r="M128" s="17">
        <f t="shared" ca="1" si="14"/>
        <v>1350</v>
      </c>
      <c r="N128" s="17">
        <f t="shared" si="15"/>
        <v>-20</v>
      </c>
      <c r="O128" s="17">
        <f t="shared" si="16"/>
        <v>-810</v>
      </c>
      <c r="P128" s="18">
        <f t="shared" ca="1" si="17"/>
        <v>0</v>
      </c>
      <c r="Q128" s="18">
        <f t="shared" ca="1" si="18"/>
        <v>0</v>
      </c>
      <c r="R128" s="19">
        <f t="shared" ca="1" si="19"/>
        <v>520</v>
      </c>
      <c r="S128" s="15">
        <f t="shared" ca="1" si="20"/>
        <v>0</v>
      </c>
    </row>
    <row r="129" spans="9:19">
      <c r="I129" s="15">
        <f t="shared" si="21"/>
        <v>125</v>
      </c>
      <c r="J129" s="16">
        <f t="shared" ca="1" si="11"/>
        <v>403</v>
      </c>
      <c r="K129" s="16">
        <f t="shared" ca="1" si="12"/>
        <v>270</v>
      </c>
      <c r="L129" s="16">
        <f t="shared" ca="1" si="13"/>
        <v>0</v>
      </c>
      <c r="M129" s="17">
        <f t="shared" ca="1" si="14"/>
        <v>1350</v>
      </c>
      <c r="N129" s="17">
        <f t="shared" si="15"/>
        <v>-20</v>
      </c>
      <c r="O129" s="17">
        <f t="shared" si="16"/>
        <v>-810</v>
      </c>
      <c r="P129" s="18">
        <f t="shared" ca="1" si="17"/>
        <v>0</v>
      </c>
      <c r="Q129" s="18">
        <f t="shared" ca="1" si="18"/>
        <v>0</v>
      </c>
      <c r="R129" s="19">
        <f t="shared" ca="1" si="19"/>
        <v>520</v>
      </c>
      <c r="S129" s="15">
        <f t="shared" ca="1" si="20"/>
        <v>0</v>
      </c>
    </row>
    <row r="130" spans="9:19">
      <c r="I130" s="15">
        <f t="shared" si="21"/>
        <v>126</v>
      </c>
      <c r="J130" s="16">
        <f t="shared" ca="1" si="11"/>
        <v>198</v>
      </c>
      <c r="K130" s="16">
        <f t="shared" ca="1" si="12"/>
        <v>198</v>
      </c>
      <c r="L130" s="16">
        <f t="shared" ca="1" si="13"/>
        <v>72</v>
      </c>
      <c r="M130" s="17">
        <f t="shared" ca="1" si="14"/>
        <v>990</v>
      </c>
      <c r="N130" s="17">
        <f t="shared" si="15"/>
        <v>-20</v>
      </c>
      <c r="O130" s="17">
        <f t="shared" si="16"/>
        <v>-810</v>
      </c>
      <c r="P130" s="18">
        <f t="shared" ca="1" si="17"/>
        <v>-36</v>
      </c>
      <c r="Q130" s="18">
        <f t="shared" ca="1" si="18"/>
        <v>108</v>
      </c>
      <c r="R130" s="19">
        <f t="shared" ca="1" si="19"/>
        <v>232</v>
      </c>
      <c r="S130" s="15">
        <f t="shared" ca="1" si="20"/>
        <v>0</v>
      </c>
    </row>
    <row r="131" spans="9:19">
      <c r="I131" s="15">
        <f t="shared" si="21"/>
        <v>127</v>
      </c>
      <c r="J131" s="16">
        <f t="shared" ca="1" si="11"/>
        <v>129</v>
      </c>
      <c r="K131" s="16">
        <f t="shared" ca="1" si="12"/>
        <v>129</v>
      </c>
      <c r="L131" s="16">
        <f t="shared" ca="1" si="13"/>
        <v>141</v>
      </c>
      <c r="M131" s="17">
        <f t="shared" ca="1" si="14"/>
        <v>645</v>
      </c>
      <c r="N131" s="17">
        <f t="shared" si="15"/>
        <v>-20</v>
      </c>
      <c r="O131" s="17">
        <f t="shared" si="16"/>
        <v>-810</v>
      </c>
      <c r="P131" s="18">
        <f t="shared" ca="1" si="17"/>
        <v>-70.5</v>
      </c>
      <c r="Q131" s="18">
        <f t="shared" ca="1" si="18"/>
        <v>211.5</v>
      </c>
      <c r="R131" s="19">
        <f t="shared" ca="1" si="19"/>
        <v>-44</v>
      </c>
      <c r="S131" s="15">
        <f t="shared" ca="1" si="20"/>
        <v>1</v>
      </c>
    </row>
    <row r="132" spans="9:19">
      <c r="I132" s="15">
        <f t="shared" si="21"/>
        <v>128</v>
      </c>
      <c r="J132" s="16">
        <f t="shared" ca="1" si="11"/>
        <v>207</v>
      </c>
      <c r="K132" s="16">
        <f t="shared" ca="1" si="12"/>
        <v>207</v>
      </c>
      <c r="L132" s="16">
        <f t="shared" ca="1" si="13"/>
        <v>63</v>
      </c>
      <c r="M132" s="17">
        <f t="shared" ca="1" si="14"/>
        <v>1035</v>
      </c>
      <c r="N132" s="17">
        <f t="shared" si="15"/>
        <v>-20</v>
      </c>
      <c r="O132" s="17">
        <f t="shared" si="16"/>
        <v>-810</v>
      </c>
      <c r="P132" s="18">
        <f t="shared" ca="1" si="17"/>
        <v>-31.5</v>
      </c>
      <c r="Q132" s="18">
        <f t="shared" ca="1" si="18"/>
        <v>94.5</v>
      </c>
      <c r="R132" s="19">
        <f t="shared" ca="1" si="19"/>
        <v>268</v>
      </c>
      <c r="S132" s="15">
        <f t="shared" ca="1" si="20"/>
        <v>0</v>
      </c>
    </row>
    <row r="133" spans="9:19">
      <c r="I133" s="15">
        <f t="shared" si="21"/>
        <v>129</v>
      </c>
      <c r="J133" s="16">
        <f t="shared" ca="1" si="11"/>
        <v>129</v>
      </c>
      <c r="K133" s="16">
        <f t="shared" ca="1" si="12"/>
        <v>129</v>
      </c>
      <c r="L133" s="16">
        <f t="shared" ca="1" si="13"/>
        <v>141</v>
      </c>
      <c r="M133" s="17">
        <f t="shared" ca="1" si="14"/>
        <v>645</v>
      </c>
      <c r="N133" s="17">
        <f t="shared" si="15"/>
        <v>-20</v>
      </c>
      <c r="O133" s="17">
        <f t="shared" si="16"/>
        <v>-810</v>
      </c>
      <c r="P133" s="18">
        <f t="shared" ca="1" si="17"/>
        <v>-70.5</v>
      </c>
      <c r="Q133" s="18">
        <f t="shared" ca="1" si="18"/>
        <v>211.5</v>
      </c>
      <c r="R133" s="19">
        <f t="shared" ca="1" si="19"/>
        <v>-44</v>
      </c>
      <c r="S133" s="15">
        <f t="shared" ca="1" si="20"/>
        <v>1</v>
      </c>
    </row>
    <row r="134" spans="9:19">
      <c r="I134" s="15">
        <f t="shared" si="21"/>
        <v>130</v>
      </c>
      <c r="J134" s="16">
        <f t="shared" ref="J134:J197" ca="1" si="22">RANDBETWEEN(120,420)</f>
        <v>214</v>
      </c>
      <c r="K134" s="16">
        <f t="shared" ref="K134:K197" ca="1" si="23">IF(J134&gt;=$D$18,$D$18,J134)</f>
        <v>214</v>
      </c>
      <c r="L134" s="16">
        <f t="shared" ref="L134:L197" ca="1" si="24">$D$18-K134</f>
        <v>56</v>
      </c>
      <c r="M134" s="17">
        <f t="shared" ref="M134:M197" ca="1" si="25">K134*5</f>
        <v>1070</v>
      </c>
      <c r="N134" s="17">
        <f t="shared" ref="N134:N197" si="26">-$D$10</f>
        <v>-20</v>
      </c>
      <c r="O134" s="17">
        <f t="shared" ref="O134:O197" si="27">-$D$6*$D$18</f>
        <v>-810</v>
      </c>
      <c r="P134" s="18">
        <f t="shared" ref="P134:P197" ca="1" si="28">-L134*$D$9</f>
        <v>-28</v>
      </c>
      <c r="Q134" s="18">
        <f t="shared" ref="Q134:Q197" ca="1" si="29">L134*($D$6*$D$8)</f>
        <v>84</v>
      </c>
      <c r="R134" s="19">
        <f t="shared" ref="R134:R197" ca="1" si="30">SUM(M134:Q134)</f>
        <v>296</v>
      </c>
      <c r="S134" s="15">
        <f t="shared" ref="S134:S197" ca="1" si="31">IF(R134&lt;0,1,0)</f>
        <v>0</v>
      </c>
    </row>
    <row r="135" spans="9:19">
      <c r="I135" s="15">
        <f t="shared" ref="I135:I198" si="32">I134+1</f>
        <v>131</v>
      </c>
      <c r="J135" s="16">
        <f t="shared" ca="1" si="22"/>
        <v>284</v>
      </c>
      <c r="K135" s="16">
        <f t="shared" ca="1" si="23"/>
        <v>270</v>
      </c>
      <c r="L135" s="16">
        <f t="shared" ca="1" si="24"/>
        <v>0</v>
      </c>
      <c r="M135" s="17">
        <f t="shared" ca="1" si="25"/>
        <v>1350</v>
      </c>
      <c r="N135" s="17">
        <f t="shared" si="26"/>
        <v>-20</v>
      </c>
      <c r="O135" s="17">
        <f t="shared" si="27"/>
        <v>-810</v>
      </c>
      <c r="P135" s="18">
        <f t="shared" ca="1" si="28"/>
        <v>0</v>
      </c>
      <c r="Q135" s="18">
        <f t="shared" ca="1" si="29"/>
        <v>0</v>
      </c>
      <c r="R135" s="19">
        <f t="shared" ca="1" si="30"/>
        <v>520</v>
      </c>
      <c r="S135" s="15">
        <f t="shared" ca="1" si="31"/>
        <v>0</v>
      </c>
    </row>
    <row r="136" spans="9:19">
      <c r="I136" s="15">
        <f t="shared" si="32"/>
        <v>132</v>
      </c>
      <c r="J136" s="16">
        <f t="shared" ca="1" si="22"/>
        <v>381</v>
      </c>
      <c r="K136" s="16">
        <f t="shared" ca="1" si="23"/>
        <v>270</v>
      </c>
      <c r="L136" s="16">
        <f t="shared" ca="1" si="24"/>
        <v>0</v>
      </c>
      <c r="M136" s="17">
        <f t="shared" ca="1" si="25"/>
        <v>1350</v>
      </c>
      <c r="N136" s="17">
        <f t="shared" si="26"/>
        <v>-20</v>
      </c>
      <c r="O136" s="17">
        <f t="shared" si="27"/>
        <v>-810</v>
      </c>
      <c r="P136" s="18">
        <f t="shared" ca="1" si="28"/>
        <v>0</v>
      </c>
      <c r="Q136" s="18">
        <f t="shared" ca="1" si="29"/>
        <v>0</v>
      </c>
      <c r="R136" s="19">
        <f t="shared" ca="1" si="30"/>
        <v>520</v>
      </c>
      <c r="S136" s="15">
        <f t="shared" ca="1" si="31"/>
        <v>0</v>
      </c>
    </row>
    <row r="137" spans="9:19">
      <c r="I137" s="15">
        <f t="shared" si="32"/>
        <v>133</v>
      </c>
      <c r="J137" s="16">
        <f t="shared" ca="1" si="22"/>
        <v>245</v>
      </c>
      <c r="K137" s="16">
        <f t="shared" ca="1" si="23"/>
        <v>245</v>
      </c>
      <c r="L137" s="16">
        <f t="shared" ca="1" si="24"/>
        <v>25</v>
      </c>
      <c r="M137" s="17">
        <f t="shared" ca="1" si="25"/>
        <v>1225</v>
      </c>
      <c r="N137" s="17">
        <f t="shared" si="26"/>
        <v>-20</v>
      </c>
      <c r="O137" s="17">
        <f t="shared" si="27"/>
        <v>-810</v>
      </c>
      <c r="P137" s="18">
        <f t="shared" ca="1" si="28"/>
        <v>-12.5</v>
      </c>
      <c r="Q137" s="18">
        <f t="shared" ca="1" si="29"/>
        <v>37.5</v>
      </c>
      <c r="R137" s="19">
        <f t="shared" ca="1" si="30"/>
        <v>420</v>
      </c>
      <c r="S137" s="15">
        <f t="shared" ca="1" si="31"/>
        <v>0</v>
      </c>
    </row>
    <row r="138" spans="9:19">
      <c r="I138" s="15">
        <f t="shared" si="32"/>
        <v>134</v>
      </c>
      <c r="J138" s="16">
        <f t="shared" ca="1" si="22"/>
        <v>305</v>
      </c>
      <c r="K138" s="16">
        <f t="shared" ca="1" si="23"/>
        <v>270</v>
      </c>
      <c r="L138" s="16">
        <f t="shared" ca="1" si="24"/>
        <v>0</v>
      </c>
      <c r="M138" s="17">
        <f t="shared" ca="1" si="25"/>
        <v>1350</v>
      </c>
      <c r="N138" s="17">
        <f t="shared" si="26"/>
        <v>-20</v>
      </c>
      <c r="O138" s="17">
        <f t="shared" si="27"/>
        <v>-810</v>
      </c>
      <c r="P138" s="18">
        <f t="shared" ca="1" si="28"/>
        <v>0</v>
      </c>
      <c r="Q138" s="18">
        <f t="shared" ca="1" si="29"/>
        <v>0</v>
      </c>
      <c r="R138" s="19">
        <f t="shared" ca="1" si="30"/>
        <v>520</v>
      </c>
      <c r="S138" s="15">
        <f t="shared" ca="1" si="31"/>
        <v>0</v>
      </c>
    </row>
    <row r="139" spans="9:19">
      <c r="I139" s="15">
        <f t="shared" si="32"/>
        <v>135</v>
      </c>
      <c r="J139" s="16">
        <f t="shared" ca="1" si="22"/>
        <v>329</v>
      </c>
      <c r="K139" s="16">
        <f t="shared" ca="1" si="23"/>
        <v>270</v>
      </c>
      <c r="L139" s="16">
        <f t="shared" ca="1" si="24"/>
        <v>0</v>
      </c>
      <c r="M139" s="17">
        <f t="shared" ca="1" si="25"/>
        <v>1350</v>
      </c>
      <c r="N139" s="17">
        <f t="shared" si="26"/>
        <v>-20</v>
      </c>
      <c r="O139" s="17">
        <f t="shared" si="27"/>
        <v>-810</v>
      </c>
      <c r="P139" s="18">
        <f t="shared" ca="1" si="28"/>
        <v>0</v>
      </c>
      <c r="Q139" s="18">
        <f t="shared" ca="1" si="29"/>
        <v>0</v>
      </c>
      <c r="R139" s="19">
        <f t="shared" ca="1" si="30"/>
        <v>520</v>
      </c>
      <c r="S139" s="15">
        <f t="shared" ca="1" si="31"/>
        <v>0</v>
      </c>
    </row>
    <row r="140" spans="9:19">
      <c r="I140" s="15">
        <f t="shared" si="32"/>
        <v>136</v>
      </c>
      <c r="J140" s="16">
        <f t="shared" ca="1" si="22"/>
        <v>128</v>
      </c>
      <c r="K140" s="16">
        <f t="shared" ca="1" si="23"/>
        <v>128</v>
      </c>
      <c r="L140" s="16">
        <f t="shared" ca="1" si="24"/>
        <v>142</v>
      </c>
      <c r="M140" s="17">
        <f t="shared" ca="1" si="25"/>
        <v>640</v>
      </c>
      <c r="N140" s="17">
        <f t="shared" si="26"/>
        <v>-20</v>
      </c>
      <c r="O140" s="17">
        <f t="shared" si="27"/>
        <v>-810</v>
      </c>
      <c r="P140" s="18">
        <f t="shared" ca="1" si="28"/>
        <v>-71</v>
      </c>
      <c r="Q140" s="18">
        <f t="shared" ca="1" si="29"/>
        <v>213</v>
      </c>
      <c r="R140" s="19">
        <f t="shared" ca="1" si="30"/>
        <v>-48</v>
      </c>
      <c r="S140" s="15">
        <f t="shared" ca="1" si="31"/>
        <v>1</v>
      </c>
    </row>
    <row r="141" spans="9:19">
      <c r="I141" s="15">
        <f t="shared" si="32"/>
        <v>137</v>
      </c>
      <c r="J141" s="16">
        <f t="shared" ca="1" si="22"/>
        <v>355</v>
      </c>
      <c r="K141" s="16">
        <f t="shared" ca="1" si="23"/>
        <v>270</v>
      </c>
      <c r="L141" s="16">
        <f t="shared" ca="1" si="24"/>
        <v>0</v>
      </c>
      <c r="M141" s="17">
        <f t="shared" ca="1" si="25"/>
        <v>1350</v>
      </c>
      <c r="N141" s="17">
        <f t="shared" si="26"/>
        <v>-20</v>
      </c>
      <c r="O141" s="17">
        <f t="shared" si="27"/>
        <v>-810</v>
      </c>
      <c r="P141" s="18">
        <f t="shared" ca="1" si="28"/>
        <v>0</v>
      </c>
      <c r="Q141" s="18">
        <f t="shared" ca="1" si="29"/>
        <v>0</v>
      </c>
      <c r="R141" s="19">
        <f t="shared" ca="1" si="30"/>
        <v>520</v>
      </c>
      <c r="S141" s="15">
        <f t="shared" ca="1" si="31"/>
        <v>0</v>
      </c>
    </row>
    <row r="142" spans="9:19">
      <c r="I142" s="15">
        <f t="shared" si="32"/>
        <v>138</v>
      </c>
      <c r="J142" s="16">
        <f t="shared" ca="1" si="22"/>
        <v>165</v>
      </c>
      <c r="K142" s="16">
        <f t="shared" ca="1" si="23"/>
        <v>165</v>
      </c>
      <c r="L142" s="16">
        <f t="shared" ca="1" si="24"/>
        <v>105</v>
      </c>
      <c r="M142" s="17">
        <f t="shared" ca="1" si="25"/>
        <v>825</v>
      </c>
      <c r="N142" s="17">
        <f t="shared" si="26"/>
        <v>-20</v>
      </c>
      <c r="O142" s="17">
        <f t="shared" si="27"/>
        <v>-810</v>
      </c>
      <c r="P142" s="18">
        <f t="shared" ca="1" si="28"/>
        <v>-52.5</v>
      </c>
      <c r="Q142" s="18">
        <f t="shared" ca="1" si="29"/>
        <v>157.5</v>
      </c>
      <c r="R142" s="19">
        <f t="shared" ca="1" si="30"/>
        <v>100</v>
      </c>
      <c r="S142" s="15">
        <f t="shared" ca="1" si="31"/>
        <v>0</v>
      </c>
    </row>
    <row r="143" spans="9:19">
      <c r="I143" s="15">
        <f t="shared" si="32"/>
        <v>139</v>
      </c>
      <c r="J143" s="16">
        <f t="shared" ca="1" si="22"/>
        <v>258</v>
      </c>
      <c r="K143" s="16">
        <f t="shared" ca="1" si="23"/>
        <v>258</v>
      </c>
      <c r="L143" s="16">
        <f t="shared" ca="1" si="24"/>
        <v>12</v>
      </c>
      <c r="M143" s="17">
        <f t="shared" ca="1" si="25"/>
        <v>1290</v>
      </c>
      <c r="N143" s="17">
        <f t="shared" si="26"/>
        <v>-20</v>
      </c>
      <c r="O143" s="17">
        <f t="shared" si="27"/>
        <v>-810</v>
      </c>
      <c r="P143" s="18">
        <f t="shared" ca="1" si="28"/>
        <v>-6</v>
      </c>
      <c r="Q143" s="18">
        <f t="shared" ca="1" si="29"/>
        <v>18</v>
      </c>
      <c r="R143" s="19">
        <f t="shared" ca="1" si="30"/>
        <v>472</v>
      </c>
      <c r="S143" s="15">
        <f t="shared" ca="1" si="31"/>
        <v>0</v>
      </c>
    </row>
    <row r="144" spans="9:19">
      <c r="I144" s="15">
        <f t="shared" si="32"/>
        <v>140</v>
      </c>
      <c r="J144" s="16">
        <f t="shared" ca="1" si="22"/>
        <v>304</v>
      </c>
      <c r="K144" s="16">
        <f t="shared" ca="1" si="23"/>
        <v>270</v>
      </c>
      <c r="L144" s="16">
        <f t="shared" ca="1" si="24"/>
        <v>0</v>
      </c>
      <c r="M144" s="17">
        <f t="shared" ca="1" si="25"/>
        <v>1350</v>
      </c>
      <c r="N144" s="17">
        <f t="shared" si="26"/>
        <v>-20</v>
      </c>
      <c r="O144" s="17">
        <f t="shared" si="27"/>
        <v>-810</v>
      </c>
      <c r="P144" s="18">
        <f t="shared" ca="1" si="28"/>
        <v>0</v>
      </c>
      <c r="Q144" s="18">
        <f t="shared" ca="1" si="29"/>
        <v>0</v>
      </c>
      <c r="R144" s="19">
        <f t="shared" ca="1" si="30"/>
        <v>520</v>
      </c>
      <c r="S144" s="15">
        <f t="shared" ca="1" si="31"/>
        <v>0</v>
      </c>
    </row>
    <row r="145" spans="9:19">
      <c r="I145" s="15">
        <f t="shared" si="32"/>
        <v>141</v>
      </c>
      <c r="J145" s="16">
        <f t="shared" ca="1" si="22"/>
        <v>383</v>
      </c>
      <c r="K145" s="16">
        <f t="shared" ca="1" si="23"/>
        <v>270</v>
      </c>
      <c r="L145" s="16">
        <f t="shared" ca="1" si="24"/>
        <v>0</v>
      </c>
      <c r="M145" s="17">
        <f t="shared" ca="1" si="25"/>
        <v>1350</v>
      </c>
      <c r="N145" s="17">
        <f t="shared" si="26"/>
        <v>-20</v>
      </c>
      <c r="O145" s="17">
        <f t="shared" si="27"/>
        <v>-810</v>
      </c>
      <c r="P145" s="18">
        <f t="shared" ca="1" si="28"/>
        <v>0</v>
      </c>
      <c r="Q145" s="18">
        <f t="shared" ca="1" si="29"/>
        <v>0</v>
      </c>
      <c r="R145" s="19">
        <f t="shared" ca="1" si="30"/>
        <v>520</v>
      </c>
      <c r="S145" s="15">
        <f t="shared" ca="1" si="31"/>
        <v>0</v>
      </c>
    </row>
    <row r="146" spans="9:19">
      <c r="I146" s="15">
        <f t="shared" si="32"/>
        <v>142</v>
      </c>
      <c r="J146" s="16">
        <f t="shared" ca="1" si="22"/>
        <v>265</v>
      </c>
      <c r="K146" s="16">
        <f t="shared" ca="1" si="23"/>
        <v>265</v>
      </c>
      <c r="L146" s="16">
        <f t="shared" ca="1" si="24"/>
        <v>5</v>
      </c>
      <c r="M146" s="17">
        <f t="shared" ca="1" si="25"/>
        <v>1325</v>
      </c>
      <c r="N146" s="17">
        <f t="shared" si="26"/>
        <v>-20</v>
      </c>
      <c r="O146" s="17">
        <f t="shared" si="27"/>
        <v>-810</v>
      </c>
      <c r="P146" s="18">
        <f t="shared" ca="1" si="28"/>
        <v>-2.5</v>
      </c>
      <c r="Q146" s="18">
        <f t="shared" ca="1" si="29"/>
        <v>7.5</v>
      </c>
      <c r="R146" s="19">
        <f t="shared" ca="1" si="30"/>
        <v>500</v>
      </c>
      <c r="S146" s="15">
        <f t="shared" ca="1" si="31"/>
        <v>0</v>
      </c>
    </row>
    <row r="147" spans="9:19">
      <c r="I147" s="15">
        <f t="shared" si="32"/>
        <v>143</v>
      </c>
      <c r="J147" s="16">
        <f t="shared" ca="1" si="22"/>
        <v>311</v>
      </c>
      <c r="K147" s="16">
        <f t="shared" ca="1" si="23"/>
        <v>270</v>
      </c>
      <c r="L147" s="16">
        <f t="shared" ca="1" si="24"/>
        <v>0</v>
      </c>
      <c r="M147" s="17">
        <f t="shared" ca="1" si="25"/>
        <v>1350</v>
      </c>
      <c r="N147" s="17">
        <f t="shared" si="26"/>
        <v>-20</v>
      </c>
      <c r="O147" s="17">
        <f t="shared" si="27"/>
        <v>-810</v>
      </c>
      <c r="P147" s="18">
        <f t="shared" ca="1" si="28"/>
        <v>0</v>
      </c>
      <c r="Q147" s="18">
        <f t="shared" ca="1" si="29"/>
        <v>0</v>
      </c>
      <c r="R147" s="19">
        <f t="shared" ca="1" si="30"/>
        <v>520</v>
      </c>
      <c r="S147" s="15">
        <f t="shared" ca="1" si="31"/>
        <v>0</v>
      </c>
    </row>
    <row r="148" spans="9:19">
      <c r="I148" s="15">
        <f t="shared" si="32"/>
        <v>144</v>
      </c>
      <c r="J148" s="16">
        <f t="shared" ca="1" si="22"/>
        <v>310</v>
      </c>
      <c r="K148" s="16">
        <f t="shared" ca="1" si="23"/>
        <v>270</v>
      </c>
      <c r="L148" s="16">
        <f t="shared" ca="1" si="24"/>
        <v>0</v>
      </c>
      <c r="M148" s="17">
        <f t="shared" ca="1" si="25"/>
        <v>1350</v>
      </c>
      <c r="N148" s="17">
        <f t="shared" si="26"/>
        <v>-20</v>
      </c>
      <c r="O148" s="17">
        <f t="shared" si="27"/>
        <v>-810</v>
      </c>
      <c r="P148" s="18">
        <f t="shared" ca="1" si="28"/>
        <v>0</v>
      </c>
      <c r="Q148" s="18">
        <f t="shared" ca="1" si="29"/>
        <v>0</v>
      </c>
      <c r="R148" s="19">
        <f t="shared" ca="1" si="30"/>
        <v>520</v>
      </c>
      <c r="S148" s="15">
        <f t="shared" ca="1" si="31"/>
        <v>0</v>
      </c>
    </row>
    <row r="149" spans="9:19">
      <c r="I149" s="15">
        <f t="shared" si="32"/>
        <v>145</v>
      </c>
      <c r="J149" s="16">
        <f t="shared" ca="1" si="22"/>
        <v>277</v>
      </c>
      <c r="K149" s="16">
        <f t="shared" ca="1" si="23"/>
        <v>270</v>
      </c>
      <c r="L149" s="16">
        <f t="shared" ca="1" si="24"/>
        <v>0</v>
      </c>
      <c r="M149" s="17">
        <f t="shared" ca="1" si="25"/>
        <v>1350</v>
      </c>
      <c r="N149" s="17">
        <f t="shared" si="26"/>
        <v>-20</v>
      </c>
      <c r="O149" s="17">
        <f t="shared" si="27"/>
        <v>-810</v>
      </c>
      <c r="P149" s="18">
        <f t="shared" ca="1" si="28"/>
        <v>0</v>
      </c>
      <c r="Q149" s="18">
        <f t="shared" ca="1" si="29"/>
        <v>0</v>
      </c>
      <c r="R149" s="19">
        <f t="shared" ca="1" si="30"/>
        <v>520</v>
      </c>
      <c r="S149" s="15">
        <f t="shared" ca="1" si="31"/>
        <v>0</v>
      </c>
    </row>
    <row r="150" spans="9:19">
      <c r="I150" s="15">
        <f t="shared" si="32"/>
        <v>146</v>
      </c>
      <c r="J150" s="16">
        <f t="shared" ca="1" si="22"/>
        <v>256</v>
      </c>
      <c r="K150" s="16">
        <f t="shared" ca="1" si="23"/>
        <v>256</v>
      </c>
      <c r="L150" s="16">
        <f t="shared" ca="1" si="24"/>
        <v>14</v>
      </c>
      <c r="M150" s="17">
        <f t="shared" ca="1" si="25"/>
        <v>1280</v>
      </c>
      <c r="N150" s="17">
        <f t="shared" si="26"/>
        <v>-20</v>
      </c>
      <c r="O150" s="17">
        <f t="shared" si="27"/>
        <v>-810</v>
      </c>
      <c r="P150" s="18">
        <f t="shared" ca="1" si="28"/>
        <v>-7</v>
      </c>
      <c r="Q150" s="18">
        <f t="shared" ca="1" si="29"/>
        <v>21</v>
      </c>
      <c r="R150" s="19">
        <f t="shared" ca="1" si="30"/>
        <v>464</v>
      </c>
      <c r="S150" s="15">
        <f t="shared" ca="1" si="31"/>
        <v>0</v>
      </c>
    </row>
    <row r="151" spans="9:19">
      <c r="I151" s="15">
        <f t="shared" si="32"/>
        <v>147</v>
      </c>
      <c r="J151" s="16">
        <f t="shared" ca="1" si="22"/>
        <v>325</v>
      </c>
      <c r="K151" s="16">
        <f t="shared" ca="1" si="23"/>
        <v>270</v>
      </c>
      <c r="L151" s="16">
        <f t="shared" ca="1" si="24"/>
        <v>0</v>
      </c>
      <c r="M151" s="17">
        <f t="shared" ca="1" si="25"/>
        <v>1350</v>
      </c>
      <c r="N151" s="17">
        <f t="shared" si="26"/>
        <v>-20</v>
      </c>
      <c r="O151" s="17">
        <f t="shared" si="27"/>
        <v>-810</v>
      </c>
      <c r="P151" s="18">
        <f t="shared" ca="1" si="28"/>
        <v>0</v>
      </c>
      <c r="Q151" s="18">
        <f t="shared" ca="1" si="29"/>
        <v>0</v>
      </c>
      <c r="R151" s="19">
        <f t="shared" ca="1" si="30"/>
        <v>520</v>
      </c>
      <c r="S151" s="15">
        <f t="shared" ca="1" si="31"/>
        <v>0</v>
      </c>
    </row>
    <row r="152" spans="9:19">
      <c r="I152" s="15">
        <f t="shared" si="32"/>
        <v>148</v>
      </c>
      <c r="J152" s="16">
        <f t="shared" ca="1" si="22"/>
        <v>232</v>
      </c>
      <c r="K152" s="16">
        <f t="shared" ca="1" si="23"/>
        <v>232</v>
      </c>
      <c r="L152" s="16">
        <f t="shared" ca="1" si="24"/>
        <v>38</v>
      </c>
      <c r="M152" s="17">
        <f t="shared" ca="1" si="25"/>
        <v>1160</v>
      </c>
      <c r="N152" s="17">
        <f t="shared" si="26"/>
        <v>-20</v>
      </c>
      <c r="O152" s="17">
        <f t="shared" si="27"/>
        <v>-810</v>
      </c>
      <c r="P152" s="18">
        <f t="shared" ca="1" si="28"/>
        <v>-19</v>
      </c>
      <c r="Q152" s="18">
        <f t="shared" ca="1" si="29"/>
        <v>57</v>
      </c>
      <c r="R152" s="19">
        <f t="shared" ca="1" si="30"/>
        <v>368</v>
      </c>
      <c r="S152" s="15">
        <f t="shared" ca="1" si="31"/>
        <v>0</v>
      </c>
    </row>
    <row r="153" spans="9:19">
      <c r="I153" s="15">
        <f t="shared" si="32"/>
        <v>149</v>
      </c>
      <c r="J153" s="16">
        <f t="shared" ca="1" si="22"/>
        <v>259</v>
      </c>
      <c r="K153" s="16">
        <f t="shared" ca="1" si="23"/>
        <v>259</v>
      </c>
      <c r="L153" s="16">
        <f t="shared" ca="1" si="24"/>
        <v>11</v>
      </c>
      <c r="M153" s="17">
        <f t="shared" ca="1" si="25"/>
        <v>1295</v>
      </c>
      <c r="N153" s="17">
        <f t="shared" si="26"/>
        <v>-20</v>
      </c>
      <c r="O153" s="17">
        <f t="shared" si="27"/>
        <v>-810</v>
      </c>
      <c r="P153" s="18">
        <f t="shared" ca="1" si="28"/>
        <v>-5.5</v>
      </c>
      <c r="Q153" s="18">
        <f t="shared" ca="1" si="29"/>
        <v>16.5</v>
      </c>
      <c r="R153" s="19">
        <f t="shared" ca="1" si="30"/>
        <v>476</v>
      </c>
      <c r="S153" s="15">
        <f t="shared" ca="1" si="31"/>
        <v>0</v>
      </c>
    </row>
    <row r="154" spans="9:19">
      <c r="I154" s="15">
        <f t="shared" si="32"/>
        <v>150</v>
      </c>
      <c r="J154" s="16">
        <f t="shared" ca="1" si="22"/>
        <v>398</v>
      </c>
      <c r="K154" s="16">
        <f t="shared" ca="1" si="23"/>
        <v>270</v>
      </c>
      <c r="L154" s="16">
        <f t="shared" ca="1" si="24"/>
        <v>0</v>
      </c>
      <c r="M154" s="17">
        <f t="shared" ca="1" si="25"/>
        <v>1350</v>
      </c>
      <c r="N154" s="17">
        <f t="shared" si="26"/>
        <v>-20</v>
      </c>
      <c r="O154" s="17">
        <f t="shared" si="27"/>
        <v>-810</v>
      </c>
      <c r="P154" s="18">
        <f t="shared" ca="1" si="28"/>
        <v>0</v>
      </c>
      <c r="Q154" s="18">
        <f t="shared" ca="1" si="29"/>
        <v>0</v>
      </c>
      <c r="R154" s="19">
        <f t="shared" ca="1" si="30"/>
        <v>520</v>
      </c>
      <c r="S154" s="15">
        <f t="shared" ca="1" si="31"/>
        <v>0</v>
      </c>
    </row>
    <row r="155" spans="9:19">
      <c r="I155" s="15">
        <f t="shared" si="32"/>
        <v>151</v>
      </c>
      <c r="J155" s="16">
        <f t="shared" ca="1" si="22"/>
        <v>187</v>
      </c>
      <c r="K155" s="16">
        <f t="shared" ca="1" si="23"/>
        <v>187</v>
      </c>
      <c r="L155" s="16">
        <f t="shared" ca="1" si="24"/>
        <v>83</v>
      </c>
      <c r="M155" s="17">
        <f t="shared" ca="1" si="25"/>
        <v>935</v>
      </c>
      <c r="N155" s="17">
        <f t="shared" si="26"/>
        <v>-20</v>
      </c>
      <c r="O155" s="17">
        <f t="shared" si="27"/>
        <v>-810</v>
      </c>
      <c r="P155" s="18">
        <f t="shared" ca="1" si="28"/>
        <v>-41.5</v>
      </c>
      <c r="Q155" s="18">
        <f t="shared" ca="1" si="29"/>
        <v>124.5</v>
      </c>
      <c r="R155" s="19">
        <f t="shared" ca="1" si="30"/>
        <v>188</v>
      </c>
      <c r="S155" s="15">
        <f t="shared" ca="1" si="31"/>
        <v>0</v>
      </c>
    </row>
    <row r="156" spans="9:19">
      <c r="I156" s="15">
        <f t="shared" si="32"/>
        <v>152</v>
      </c>
      <c r="J156" s="16">
        <f t="shared" ca="1" si="22"/>
        <v>225</v>
      </c>
      <c r="K156" s="16">
        <f t="shared" ca="1" si="23"/>
        <v>225</v>
      </c>
      <c r="L156" s="16">
        <f t="shared" ca="1" si="24"/>
        <v>45</v>
      </c>
      <c r="M156" s="17">
        <f t="shared" ca="1" si="25"/>
        <v>1125</v>
      </c>
      <c r="N156" s="17">
        <f t="shared" si="26"/>
        <v>-20</v>
      </c>
      <c r="O156" s="17">
        <f t="shared" si="27"/>
        <v>-810</v>
      </c>
      <c r="P156" s="18">
        <f t="shared" ca="1" si="28"/>
        <v>-22.5</v>
      </c>
      <c r="Q156" s="18">
        <f t="shared" ca="1" si="29"/>
        <v>67.5</v>
      </c>
      <c r="R156" s="19">
        <f t="shared" ca="1" si="30"/>
        <v>340</v>
      </c>
      <c r="S156" s="15">
        <f t="shared" ca="1" si="31"/>
        <v>0</v>
      </c>
    </row>
    <row r="157" spans="9:19">
      <c r="I157" s="15">
        <f t="shared" si="32"/>
        <v>153</v>
      </c>
      <c r="J157" s="16">
        <f t="shared" ca="1" si="22"/>
        <v>248</v>
      </c>
      <c r="K157" s="16">
        <f t="shared" ca="1" si="23"/>
        <v>248</v>
      </c>
      <c r="L157" s="16">
        <f t="shared" ca="1" si="24"/>
        <v>22</v>
      </c>
      <c r="M157" s="17">
        <f t="shared" ca="1" si="25"/>
        <v>1240</v>
      </c>
      <c r="N157" s="17">
        <f t="shared" si="26"/>
        <v>-20</v>
      </c>
      <c r="O157" s="17">
        <f t="shared" si="27"/>
        <v>-810</v>
      </c>
      <c r="P157" s="18">
        <f t="shared" ca="1" si="28"/>
        <v>-11</v>
      </c>
      <c r="Q157" s="18">
        <f t="shared" ca="1" si="29"/>
        <v>33</v>
      </c>
      <c r="R157" s="19">
        <f t="shared" ca="1" si="30"/>
        <v>432</v>
      </c>
      <c r="S157" s="15">
        <f t="shared" ca="1" si="31"/>
        <v>0</v>
      </c>
    </row>
    <row r="158" spans="9:19">
      <c r="I158" s="15">
        <f t="shared" si="32"/>
        <v>154</v>
      </c>
      <c r="J158" s="16">
        <f t="shared" ca="1" si="22"/>
        <v>204</v>
      </c>
      <c r="K158" s="16">
        <f t="shared" ca="1" si="23"/>
        <v>204</v>
      </c>
      <c r="L158" s="16">
        <f t="shared" ca="1" si="24"/>
        <v>66</v>
      </c>
      <c r="M158" s="17">
        <f t="shared" ca="1" si="25"/>
        <v>1020</v>
      </c>
      <c r="N158" s="17">
        <f t="shared" si="26"/>
        <v>-20</v>
      </c>
      <c r="O158" s="17">
        <f t="shared" si="27"/>
        <v>-810</v>
      </c>
      <c r="P158" s="18">
        <f t="shared" ca="1" si="28"/>
        <v>-33</v>
      </c>
      <c r="Q158" s="18">
        <f t="shared" ca="1" si="29"/>
        <v>99</v>
      </c>
      <c r="R158" s="19">
        <f t="shared" ca="1" si="30"/>
        <v>256</v>
      </c>
      <c r="S158" s="15">
        <f t="shared" ca="1" si="31"/>
        <v>0</v>
      </c>
    </row>
    <row r="159" spans="9:19">
      <c r="I159" s="15">
        <f t="shared" si="32"/>
        <v>155</v>
      </c>
      <c r="J159" s="16">
        <f t="shared" ca="1" si="22"/>
        <v>197</v>
      </c>
      <c r="K159" s="16">
        <f t="shared" ca="1" si="23"/>
        <v>197</v>
      </c>
      <c r="L159" s="16">
        <f t="shared" ca="1" si="24"/>
        <v>73</v>
      </c>
      <c r="M159" s="17">
        <f t="shared" ca="1" si="25"/>
        <v>985</v>
      </c>
      <c r="N159" s="17">
        <f t="shared" si="26"/>
        <v>-20</v>
      </c>
      <c r="O159" s="17">
        <f t="shared" si="27"/>
        <v>-810</v>
      </c>
      <c r="P159" s="18">
        <f t="shared" ca="1" si="28"/>
        <v>-36.5</v>
      </c>
      <c r="Q159" s="18">
        <f t="shared" ca="1" si="29"/>
        <v>109.5</v>
      </c>
      <c r="R159" s="19">
        <f t="shared" ca="1" si="30"/>
        <v>228</v>
      </c>
      <c r="S159" s="15">
        <f t="shared" ca="1" si="31"/>
        <v>0</v>
      </c>
    </row>
    <row r="160" spans="9:19">
      <c r="I160" s="15">
        <f t="shared" si="32"/>
        <v>156</v>
      </c>
      <c r="J160" s="16">
        <f t="shared" ca="1" si="22"/>
        <v>230</v>
      </c>
      <c r="K160" s="16">
        <f t="shared" ca="1" si="23"/>
        <v>230</v>
      </c>
      <c r="L160" s="16">
        <f t="shared" ca="1" si="24"/>
        <v>40</v>
      </c>
      <c r="M160" s="17">
        <f t="shared" ca="1" si="25"/>
        <v>1150</v>
      </c>
      <c r="N160" s="17">
        <f t="shared" si="26"/>
        <v>-20</v>
      </c>
      <c r="O160" s="17">
        <f t="shared" si="27"/>
        <v>-810</v>
      </c>
      <c r="P160" s="18">
        <f t="shared" ca="1" si="28"/>
        <v>-20</v>
      </c>
      <c r="Q160" s="18">
        <f t="shared" ca="1" si="29"/>
        <v>60</v>
      </c>
      <c r="R160" s="19">
        <f t="shared" ca="1" si="30"/>
        <v>360</v>
      </c>
      <c r="S160" s="15">
        <f t="shared" ca="1" si="31"/>
        <v>0</v>
      </c>
    </row>
    <row r="161" spans="9:19">
      <c r="I161" s="15">
        <f t="shared" si="32"/>
        <v>157</v>
      </c>
      <c r="J161" s="16">
        <f t="shared" ca="1" si="22"/>
        <v>329</v>
      </c>
      <c r="K161" s="16">
        <f t="shared" ca="1" si="23"/>
        <v>270</v>
      </c>
      <c r="L161" s="16">
        <f t="shared" ca="1" si="24"/>
        <v>0</v>
      </c>
      <c r="M161" s="17">
        <f t="shared" ca="1" si="25"/>
        <v>1350</v>
      </c>
      <c r="N161" s="17">
        <f t="shared" si="26"/>
        <v>-20</v>
      </c>
      <c r="O161" s="17">
        <f t="shared" si="27"/>
        <v>-810</v>
      </c>
      <c r="P161" s="18">
        <f t="shared" ca="1" si="28"/>
        <v>0</v>
      </c>
      <c r="Q161" s="18">
        <f t="shared" ca="1" si="29"/>
        <v>0</v>
      </c>
      <c r="R161" s="19">
        <f t="shared" ca="1" si="30"/>
        <v>520</v>
      </c>
      <c r="S161" s="15">
        <f t="shared" ca="1" si="31"/>
        <v>0</v>
      </c>
    </row>
    <row r="162" spans="9:19">
      <c r="I162" s="15">
        <f t="shared" si="32"/>
        <v>158</v>
      </c>
      <c r="J162" s="16">
        <f t="shared" ca="1" si="22"/>
        <v>329</v>
      </c>
      <c r="K162" s="16">
        <f t="shared" ca="1" si="23"/>
        <v>270</v>
      </c>
      <c r="L162" s="16">
        <f t="shared" ca="1" si="24"/>
        <v>0</v>
      </c>
      <c r="M162" s="17">
        <f t="shared" ca="1" si="25"/>
        <v>1350</v>
      </c>
      <c r="N162" s="17">
        <f t="shared" si="26"/>
        <v>-20</v>
      </c>
      <c r="O162" s="17">
        <f t="shared" si="27"/>
        <v>-810</v>
      </c>
      <c r="P162" s="18">
        <f t="shared" ca="1" si="28"/>
        <v>0</v>
      </c>
      <c r="Q162" s="18">
        <f t="shared" ca="1" si="29"/>
        <v>0</v>
      </c>
      <c r="R162" s="19">
        <f t="shared" ca="1" si="30"/>
        <v>520</v>
      </c>
      <c r="S162" s="15">
        <f t="shared" ca="1" si="31"/>
        <v>0</v>
      </c>
    </row>
    <row r="163" spans="9:19">
      <c r="I163" s="15">
        <f t="shared" si="32"/>
        <v>159</v>
      </c>
      <c r="J163" s="16">
        <f t="shared" ca="1" si="22"/>
        <v>410</v>
      </c>
      <c r="K163" s="16">
        <f t="shared" ca="1" si="23"/>
        <v>270</v>
      </c>
      <c r="L163" s="16">
        <f t="shared" ca="1" si="24"/>
        <v>0</v>
      </c>
      <c r="M163" s="17">
        <f t="shared" ca="1" si="25"/>
        <v>1350</v>
      </c>
      <c r="N163" s="17">
        <f t="shared" si="26"/>
        <v>-20</v>
      </c>
      <c r="O163" s="17">
        <f t="shared" si="27"/>
        <v>-810</v>
      </c>
      <c r="P163" s="18">
        <f t="shared" ca="1" si="28"/>
        <v>0</v>
      </c>
      <c r="Q163" s="18">
        <f t="shared" ca="1" si="29"/>
        <v>0</v>
      </c>
      <c r="R163" s="19">
        <f t="shared" ca="1" si="30"/>
        <v>520</v>
      </c>
      <c r="S163" s="15">
        <f t="shared" ca="1" si="31"/>
        <v>0</v>
      </c>
    </row>
    <row r="164" spans="9:19">
      <c r="I164" s="15">
        <f t="shared" si="32"/>
        <v>160</v>
      </c>
      <c r="J164" s="16">
        <f t="shared" ca="1" si="22"/>
        <v>123</v>
      </c>
      <c r="K164" s="16">
        <f t="shared" ca="1" si="23"/>
        <v>123</v>
      </c>
      <c r="L164" s="16">
        <f t="shared" ca="1" si="24"/>
        <v>147</v>
      </c>
      <c r="M164" s="17">
        <f t="shared" ca="1" si="25"/>
        <v>615</v>
      </c>
      <c r="N164" s="17">
        <f t="shared" si="26"/>
        <v>-20</v>
      </c>
      <c r="O164" s="17">
        <f t="shared" si="27"/>
        <v>-810</v>
      </c>
      <c r="P164" s="18">
        <f t="shared" ca="1" si="28"/>
        <v>-73.5</v>
      </c>
      <c r="Q164" s="18">
        <f t="shared" ca="1" si="29"/>
        <v>220.5</v>
      </c>
      <c r="R164" s="19">
        <f t="shared" ca="1" si="30"/>
        <v>-68</v>
      </c>
      <c r="S164" s="15">
        <f t="shared" ca="1" si="31"/>
        <v>1</v>
      </c>
    </row>
    <row r="165" spans="9:19">
      <c r="I165" s="15">
        <f t="shared" si="32"/>
        <v>161</v>
      </c>
      <c r="J165" s="16">
        <f t="shared" ca="1" si="22"/>
        <v>184</v>
      </c>
      <c r="K165" s="16">
        <f t="shared" ca="1" si="23"/>
        <v>184</v>
      </c>
      <c r="L165" s="16">
        <f t="shared" ca="1" si="24"/>
        <v>86</v>
      </c>
      <c r="M165" s="17">
        <f t="shared" ca="1" si="25"/>
        <v>920</v>
      </c>
      <c r="N165" s="17">
        <f t="shared" si="26"/>
        <v>-20</v>
      </c>
      <c r="O165" s="17">
        <f t="shared" si="27"/>
        <v>-810</v>
      </c>
      <c r="P165" s="18">
        <f t="shared" ca="1" si="28"/>
        <v>-43</v>
      </c>
      <c r="Q165" s="18">
        <f t="shared" ca="1" si="29"/>
        <v>129</v>
      </c>
      <c r="R165" s="19">
        <f t="shared" ca="1" si="30"/>
        <v>176</v>
      </c>
      <c r="S165" s="15">
        <f t="shared" ca="1" si="31"/>
        <v>0</v>
      </c>
    </row>
    <row r="166" spans="9:19">
      <c r="I166" s="15">
        <f t="shared" si="32"/>
        <v>162</v>
      </c>
      <c r="J166" s="16">
        <f t="shared" ca="1" si="22"/>
        <v>134</v>
      </c>
      <c r="K166" s="16">
        <f t="shared" ca="1" si="23"/>
        <v>134</v>
      </c>
      <c r="L166" s="16">
        <f t="shared" ca="1" si="24"/>
        <v>136</v>
      </c>
      <c r="M166" s="17">
        <f t="shared" ca="1" si="25"/>
        <v>670</v>
      </c>
      <c r="N166" s="17">
        <f t="shared" si="26"/>
        <v>-20</v>
      </c>
      <c r="O166" s="17">
        <f t="shared" si="27"/>
        <v>-810</v>
      </c>
      <c r="P166" s="18">
        <f t="shared" ca="1" si="28"/>
        <v>-68</v>
      </c>
      <c r="Q166" s="18">
        <f t="shared" ca="1" si="29"/>
        <v>204</v>
      </c>
      <c r="R166" s="19">
        <f t="shared" ca="1" si="30"/>
        <v>-24</v>
      </c>
      <c r="S166" s="15">
        <f t="shared" ca="1" si="31"/>
        <v>1</v>
      </c>
    </row>
    <row r="167" spans="9:19">
      <c r="I167" s="15">
        <f t="shared" si="32"/>
        <v>163</v>
      </c>
      <c r="J167" s="16">
        <f t="shared" ca="1" si="22"/>
        <v>238</v>
      </c>
      <c r="K167" s="16">
        <f t="shared" ca="1" si="23"/>
        <v>238</v>
      </c>
      <c r="L167" s="16">
        <f t="shared" ca="1" si="24"/>
        <v>32</v>
      </c>
      <c r="M167" s="17">
        <f t="shared" ca="1" si="25"/>
        <v>1190</v>
      </c>
      <c r="N167" s="17">
        <f t="shared" si="26"/>
        <v>-20</v>
      </c>
      <c r="O167" s="17">
        <f t="shared" si="27"/>
        <v>-810</v>
      </c>
      <c r="P167" s="18">
        <f t="shared" ca="1" si="28"/>
        <v>-16</v>
      </c>
      <c r="Q167" s="18">
        <f t="shared" ca="1" si="29"/>
        <v>48</v>
      </c>
      <c r="R167" s="19">
        <f t="shared" ca="1" si="30"/>
        <v>392</v>
      </c>
      <c r="S167" s="15">
        <f t="shared" ca="1" si="31"/>
        <v>0</v>
      </c>
    </row>
    <row r="168" spans="9:19">
      <c r="I168" s="15">
        <f t="shared" si="32"/>
        <v>164</v>
      </c>
      <c r="J168" s="16">
        <f t="shared" ca="1" si="22"/>
        <v>147</v>
      </c>
      <c r="K168" s="16">
        <f t="shared" ca="1" si="23"/>
        <v>147</v>
      </c>
      <c r="L168" s="16">
        <f t="shared" ca="1" si="24"/>
        <v>123</v>
      </c>
      <c r="M168" s="17">
        <f t="shared" ca="1" si="25"/>
        <v>735</v>
      </c>
      <c r="N168" s="17">
        <f t="shared" si="26"/>
        <v>-20</v>
      </c>
      <c r="O168" s="17">
        <f t="shared" si="27"/>
        <v>-810</v>
      </c>
      <c r="P168" s="18">
        <f t="shared" ca="1" si="28"/>
        <v>-61.5</v>
      </c>
      <c r="Q168" s="18">
        <f t="shared" ca="1" si="29"/>
        <v>184.5</v>
      </c>
      <c r="R168" s="19">
        <f t="shared" ca="1" si="30"/>
        <v>28</v>
      </c>
      <c r="S168" s="15">
        <f t="shared" ca="1" si="31"/>
        <v>0</v>
      </c>
    </row>
    <row r="169" spans="9:19">
      <c r="I169" s="15">
        <f t="shared" si="32"/>
        <v>165</v>
      </c>
      <c r="J169" s="16">
        <f t="shared" ca="1" si="22"/>
        <v>302</v>
      </c>
      <c r="K169" s="16">
        <f t="shared" ca="1" si="23"/>
        <v>270</v>
      </c>
      <c r="L169" s="16">
        <f t="shared" ca="1" si="24"/>
        <v>0</v>
      </c>
      <c r="M169" s="17">
        <f t="shared" ca="1" si="25"/>
        <v>1350</v>
      </c>
      <c r="N169" s="17">
        <f t="shared" si="26"/>
        <v>-20</v>
      </c>
      <c r="O169" s="17">
        <f t="shared" si="27"/>
        <v>-810</v>
      </c>
      <c r="P169" s="18">
        <f t="shared" ca="1" si="28"/>
        <v>0</v>
      </c>
      <c r="Q169" s="18">
        <f t="shared" ca="1" si="29"/>
        <v>0</v>
      </c>
      <c r="R169" s="19">
        <f t="shared" ca="1" si="30"/>
        <v>520</v>
      </c>
      <c r="S169" s="15">
        <f t="shared" ca="1" si="31"/>
        <v>0</v>
      </c>
    </row>
    <row r="170" spans="9:19">
      <c r="I170" s="15">
        <f t="shared" si="32"/>
        <v>166</v>
      </c>
      <c r="J170" s="16">
        <f t="shared" ca="1" si="22"/>
        <v>410</v>
      </c>
      <c r="K170" s="16">
        <f t="shared" ca="1" si="23"/>
        <v>270</v>
      </c>
      <c r="L170" s="16">
        <f t="shared" ca="1" si="24"/>
        <v>0</v>
      </c>
      <c r="M170" s="17">
        <f t="shared" ca="1" si="25"/>
        <v>1350</v>
      </c>
      <c r="N170" s="17">
        <f t="shared" si="26"/>
        <v>-20</v>
      </c>
      <c r="O170" s="17">
        <f t="shared" si="27"/>
        <v>-810</v>
      </c>
      <c r="P170" s="18">
        <f t="shared" ca="1" si="28"/>
        <v>0</v>
      </c>
      <c r="Q170" s="18">
        <f t="shared" ca="1" si="29"/>
        <v>0</v>
      </c>
      <c r="R170" s="19">
        <f t="shared" ca="1" si="30"/>
        <v>520</v>
      </c>
      <c r="S170" s="15">
        <f t="shared" ca="1" si="31"/>
        <v>0</v>
      </c>
    </row>
    <row r="171" spans="9:19">
      <c r="I171" s="15">
        <f t="shared" si="32"/>
        <v>167</v>
      </c>
      <c r="J171" s="16">
        <f t="shared" ca="1" si="22"/>
        <v>221</v>
      </c>
      <c r="K171" s="16">
        <f t="shared" ca="1" si="23"/>
        <v>221</v>
      </c>
      <c r="L171" s="16">
        <f t="shared" ca="1" si="24"/>
        <v>49</v>
      </c>
      <c r="M171" s="17">
        <f t="shared" ca="1" si="25"/>
        <v>1105</v>
      </c>
      <c r="N171" s="17">
        <f t="shared" si="26"/>
        <v>-20</v>
      </c>
      <c r="O171" s="17">
        <f t="shared" si="27"/>
        <v>-810</v>
      </c>
      <c r="P171" s="18">
        <f t="shared" ca="1" si="28"/>
        <v>-24.5</v>
      </c>
      <c r="Q171" s="18">
        <f t="shared" ca="1" si="29"/>
        <v>73.5</v>
      </c>
      <c r="R171" s="19">
        <f t="shared" ca="1" si="30"/>
        <v>324</v>
      </c>
      <c r="S171" s="15">
        <f t="shared" ca="1" si="31"/>
        <v>0</v>
      </c>
    </row>
    <row r="172" spans="9:19">
      <c r="I172" s="15">
        <f t="shared" si="32"/>
        <v>168</v>
      </c>
      <c r="J172" s="16">
        <f t="shared" ca="1" si="22"/>
        <v>280</v>
      </c>
      <c r="K172" s="16">
        <f t="shared" ca="1" si="23"/>
        <v>270</v>
      </c>
      <c r="L172" s="16">
        <f t="shared" ca="1" si="24"/>
        <v>0</v>
      </c>
      <c r="M172" s="17">
        <f t="shared" ca="1" si="25"/>
        <v>1350</v>
      </c>
      <c r="N172" s="17">
        <f t="shared" si="26"/>
        <v>-20</v>
      </c>
      <c r="O172" s="17">
        <f t="shared" si="27"/>
        <v>-810</v>
      </c>
      <c r="P172" s="18">
        <f t="shared" ca="1" si="28"/>
        <v>0</v>
      </c>
      <c r="Q172" s="18">
        <f t="shared" ca="1" si="29"/>
        <v>0</v>
      </c>
      <c r="R172" s="19">
        <f t="shared" ca="1" si="30"/>
        <v>520</v>
      </c>
      <c r="S172" s="15">
        <f t="shared" ca="1" si="31"/>
        <v>0</v>
      </c>
    </row>
    <row r="173" spans="9:19">
      <c r="I173" s="15">
        <f t="shared" si="32"/>
        <v>169</v>
      </c>
      <c r="J173" s="16">
        <f t="shared" ca="1" si="22"/>
        <v>196</v>
      </c>
      <c r="K173" s="16">
        <f t="shared" ca="1" si="23"/>
        <v>196</v>
      </c>
      <c r="L173" s="16">
        <f t="shared" ca="1" si="24"/>
        <v>74</v>
      </c>
      <c r="M173" s="17">
        <f t="shared" ca="1" si="25"/>
        <v>980</v>
      </c>
      <c r="N173" s="17">
        <f t="shared" si="26"/>
        <v>-20</v>
      </c>
      <c r="O173" s="17">
        <f t="shared" si="27"/>
        <v>-810</v>
      </c>
      <c r="P173" s="18">
        <f t="shared" ca="1" si="28"/>
        <v>-37</v>
      </c>
      <c r="Q173" s="18">
        <f t="shared" ca="1" si="29"/>
        <v>111</v>
      </c>
      <c r="R173" s="19">
        <f t="shared" ca="1" si="30"/>
        <v>224</v>
      </c>
      <c r="S173" s="15">
        <f t="shared" ca="1" si="31"/>
        <v>0</v>
      </c>
    </row>
    <row r="174" spans="9:19">
      <c r="I174" s="15">
        <f t="shared" si="32"/>
        <v>170</v>
      </c>
      <c r="J174" s="16">
        <f t="shared" ca="1" si="22"/>
        <v>190</v>
      </c>
      <c r="K174" s="16">
        <f t="shared" ca="1" si="23"/>
        <v>190</v>
      </c>
      <c r="L174" s="16">
        <f t="shared" ca="1" si="24"/>
        <v>80</v>
      </c>
      <c r="M174" s="17">
        <f t="shared" ca="1" si="25"/>
        <v>950</v>
      </c>
      <c r="N174" s="17">
        <f t="shared" si="26"/>
        <v>-20</v>
      </c>
      <c r="O174" s="17">
        <f t="shared" si="27"/>
        <v>-810</v>
      </c>
      <c r="P174" s="18">
        <f t="shared" ca="1" si="28"/>
        <v>-40</v>
      </c>
      <c r="Q174" s="18">
        <f t="shared" ca="1" si="29"/>
        <v>120</v>
      </c>
      <c r="R174" s="19">
        <f t="shared" ca="1" si="30"/>
        <v>200</v>
      </c>
      <c r="S174" s="15">
        <f t="shared" ca="1" si="31"/>
        <v>0</v>
      </c>
    </row>
    <row r="175" spans="9:19">
      <c r="I175" s="15">
        <f t="shared" si="32"/>
        <v>171</v>
      </c>
      <c r="J175" s="16">
        <f t="shared" ca="1" si="22"/>
        <v>371</v>
      </c>
      <c r="K175" s="16">
        <f t="shared" ca="1" si="23"/>
        <v>270</v>
      </c>
      <c r="L175" s="16">
        <f t="shared" ca="1" si="24"/>
        <v>0</v>
      </c>
      <c r="M175" s="17">
        <f t="shared" ca="1" si="25"/>
        <v>1350</v>
      </c>
      <c r="N175" s="17">
        <f t="shared" si="26"/>
        <v>-20</v>
      </c>
      <c r="O175" s="17">
        <f t="shared" si="27"/>
        <v>-810</v>
      </c>
      <c r="P175" s="18">
        <f t="shared" ca="1" si="28"/>
        <v>0</v>
      </c>
      <c r="Q175" s="18">
        <f t="shared" ca="1" si="29"/>
        <v>0</v>
      </c>
      <c r="R175" s="19">
        <f t="shared" ca="1" si="30"/>
        <v>520</v>
      </c>
      <c r="S175" s="15">
        <f t="shared" ca="1" si="31"/>
        <v>0</v>
      </c>
    </row>
    <row r="176" spans="9:19">
      <c r="I176" s="15">
        <f t="shared" si="32"/>
        <v>172</v>
      </c>
      <c r="J176" s="16">
        <f t="shared" ca="1" si="22"/>
        <v>353</v>
      </c>
      <c r="K176" s="16">
        <f t="shared" ca="1" si="23"/>
        <v>270</v>
      </c>
      <c r="L176" s="16">
        <f t="shared" ca="1" si="24"/>
        <v>0</v>
      </c>
      <c r="M176" s="17">
        <f t="shared" ca="1" si="25"/>
        <v>1350</v>
      </c>
      <c r="N176" s="17">
        <f t="shared" si="26"/>
        <v>-20</v>
      </c>
      <c r="O176" s="17">
        <f t="shared" si="27"/>
        <v>-810</v>
      </c>
      <c r="P176" s="18">
        <f t="shared" ca="1" si="28"/>
        <v>0</v>
      </c>
      <c r="Q176" s="18">
        <f t="shared" ca="1" si="29"/>
        <v>0</v>
      </c>
      <c r="R176" s="19">
        <f t="shared" ca="1" si="30"/>
        <v>520</v>
      </c>
      <c r="S176" s="15">
        <f t="shared" ca="1" si="31"/>
        <v>0</v>
      </c>
    </row>
    <row r="177" spans="9:19">
      <c r="I177" s="15">
        <f t="shared" si="32"/>
        <v>173</v>
      </c>
      <c r="J177" s="16">
        <f t="shared" ca="1" si="22"/>
        <v>275</v>
      </c>
      <c r="K177" s="16">
        <f t="shared" ca="1" si="23"/>
        <v>270</v>
      </c>
      <c r="L177" s="16">
        <f t="shared" ca="1" si="24"/>
        <v>0</v>
      </c>
      <c r="M177" s="17">
        <f t="shared" ca="1" si="25"/>
        <v>1350</v>
      </c>
      <c r="N177" s="17">
        <f t="shared" si="26"/>
        <v>-20</v>
      </c>
      <c r="O177" s="17">
        <f t="shared" si="27"/>
        <v>-810</v>
      </c>
      <c r="P177" s="18">
        <f t="shared" ca="1" si="28"/>
        <v>0</v>
      </c>
      <c r="Q177" s="18">
        <f t="shared" ca="1" si="29"/>
        <v>0</v>
      </c>
      <c r="R177" s="19">
        <f t="shared" ca="1" si="30"/>
        <v>520</v>
      </c>
      <c r="S177" s="15">
        <f t="shared" ca="1" si="31"/>
        <v>0</v>
      </c>
    </row>
    <row r="178" spans="9:19">
      <c r="I178" s="15">
        <f t="shared" si="32"/>
        <v>174</v>
      </c>
      <c r="J178" s="16">
        <f t="shared" ca="1" si="22"/>
        <v>319</v>
      </c>
      <c r="K178" s="16">
        <f t="shared" ca="1" si="23"/>
        <v>270</v>
      </c>
      <c r="L178" s="16">
        <f t="shared" ca="1" si="24"/>
        <v>0</v>
      </c>
      <c r="M178" s="17">
        <f t="shared" ca="1" si="25"/>
        <v>1350</v>
      </c>
      <c r="N178" s="17">
        <f t="shared" si="26"/>
        <v>-20</v>
      </c>
      <c r="O178" s="17">
        <f t="shared" si="27"/>
        <v>-810</v>
      </c>
      <c r="P178" s="18">
        <f t="shared" ca="1" si="28"/>
        <v>0</v>
      </c>
      <c r="Q178" s="18">
        <f t="shared" ca="1" si="29"/>
        <v>0</v>
      </c>
      <c r="R178" s="19">
        <f t="shared" ca="1" si="30"/>
        <v>520</v>
      </c>
      <c r="S178" s="15">
        <f t="shared" ca="1" si="31"/>
        <v>0</v>
      </c>
    </row>
    <row r="179" spans="9:19">
      <c r="I179" s="15">
        <f t="shared" si="32"/>
        <v>175</v>
      </c>
      <c r="J179" s="16">
        <f t="shared" ca="1" si="22"/>
        <v>161</v>
      </c>
      <c r="K179" s="16">
        <f t="shared" ca="1" si="23"/>
        <v>161</v>
      </c>
      <c r="L179" s="16">
        <f t="shared" ca="1" si="24"/>
        <v>109</v>
      </c>
      <c r="M179" s="17">
        <f t="shared" ca="1" si="25"/>
        <v>805</v>
      </c>
      <c r="N179" s="17">
        <f t="shared" si="26"/>
        <v>-20</v>
      </c>
      <c r="O179" s="17">
        <f t="shared" si="27"/>
        <v>-810</v>
      </c>
      <c r="P179" s="18">
        <f t="shared" ca="1" si="28"/>
        <v>-54.5</v>
      </c>
      <c r="Q179" s="18">
        <f t="shared" ca="1" si="29"/>
        <v>163.5</v>
      </c>
      <c r="R179" s="19">
        <f t="shared" ca="1" si="30"/>
        <v>84</v>
      </c>
      <c r="S179" s="15">
        <f t="shared" ca="1" si="31"/>
        <v>0</v>
      </c>
    </row>
    <row r="180" spans="9:19">
      <c r="I180" s="15">
        <f t="shared" si="32"/>
        <v>176</v>
      </c>
      <c r="J180" s="16">
        <f t="shared" ca="1" si="22"/>
        <v>409</v>
      </c>
      <c r="K180" s="16">
        <f t="shared" ca="1" si="23"/>
        <v>270</v>
      </c>
      <c r="L180" s="16">
        <f t="shared" ca="1" si="24"/>
        <v>0</v>
      </c>
      <c r="M180" s="17">
        <f t="shared" ca="1" si="25"/>
        <v>1350</v>
      </c>
      <c r="N180" s="17">
        <f t="shared" si="26"/>
        <v>-20</v>
      </c>
      <c r="O180" s="17">
        <f t="shared" si="27"/>
        <v>-810</v>
      </c>
      <c r="P180" s="18">
        <f t="shared" ca="1" si="28"/>
        <v>0</v>
      </c>
      <c r="Q180" s="18">
        <f t="shared" ca="1" si="29"/>
        <v>0</v>
      </c>
      <c r="R180" s="19">
        <f t="shared" ca="1" si="30"/>
        <v>520</v>
      </c>
      <c r="S180" s="15">
        <f t="shared" ca="1" si="31"/>
        <v>0</v>
      </c>
    </row>
    <row r="181" spans="9:19">
      <c r="I181" s="15">
        <f t="shared" si="32"/>
        <v>177</v>
      </c>
      <c r="J181" s="16">
        <f t="shared" ca="1" si="22"/>
        <v>336</v>
      </c>
      <c r="K181" s="16">
        <f t="shared" ca="1" si="23"/>
        <v>270</v>
      </c>
      <c r="L181" s="16">
        <f t="shared" ca="1" si="24"/>
        <v>0</v>
      </c>
      <c r="M181" s="17">
        <f t="shared" ca="1" si="25"/>
        <v>1350</v>
      </c>
      <c r="N181" s="17">
        <f t="shared" si="26"/>
        <v>-20</v>
      </c>
      <c r="O181" s="17">
        <f t="shared" si="27"/>
        <v>-810</v>
      </c>
      <c r="P181" s="18">
        <f t="shared" ca="1" si="28"/>
        <v>0</v>
      </c>
      <c r="Q181" s="18">
        <f t="shared" ca="1" si="29"/>
        <v>0</v>
      </c>
      <c r="R181" s="19">
        <f t="shared" ca="1" si="30"/>
        <v>520</v>
      </c>
      <c r="S181" s="15">
        <f t="shared" ca="1" si="31"/>
        <v>0</v>
      </c>
    </row>
    <row r="182" spans="9:19">
      <c r="I182" s="15">
        <f t="shared" si="32"/>
        <v>178</v>
      </c>
      <c r="J182" s="16">
        <f t="shared" ca="1" si="22"/>
        <v>298</v>
      </c>
      <c r="K182" s="16">
        <f t="shared" ca="1" si="23"/>
        <v>270</v>
      </c>
      <c r="L182" s="16">
        <f t="shared" ca="1" si="24"/>
        <v>0</v>
      </c>
      <c r="M182" s="17">
        <f t="shared" ca="1" si="25"/>
        <v>1350</v>
      </c>
      <c r="N182" s="17">
        <f t="shared" si="26"/>
        <v>-20</v>
      </c>
      <c r="O182" s="17">
        <f t="shared" si="27"/>
        <v>-810</v>
      </c>
      <c r="P182" s="18">
        <f t="shared" ca="1" si="28"/>
        <v>0</v>
      </c>
      <c r="Q182" s="18">
        <f t="shared" ca="1" si="29"/>
        <v>0</v>
      </c>
      <c r="R182" s="19">
        <f t="shared" ca="1" si="30"/>
        <v>520</v>
      </c>
      <c r="S182" s="15">
        <f t="shared" ca="1" si="31"/>
        <v>0</v>
      </c>
    </row>
    <row r="183" spans="9:19">
      <c r="I183" s="15">
        <f t="shared" si="32"/>
        <v>179</v>
      </c>
      <c r="J183" s="16">
        <f t="shared" ca="1" si="22"/>
        <v>189</v>
      </c>
      <c r="K183" s="16">
        <f t="shared" ca="1" si="23"/>
        <v>189</v>
      </c>
      <c r="L183" s="16">
        <f t="shared" ca="1" si="24"/>
        <v>81</v>
      </c>
      <c r="M183" s="17">
        <f t="shared" ca="1" si="25"/>
        <v>945</v>
      </c>
      <c r="N183" s="17">
        <f t="shared" si="26"/>
        <v>-20</v>
      </c>
      <c r="O183" s="17">
        <f t="shared" si="27"/>
        <v>-810</v>
      </c>
      <c r="P183" s="18">
        <f t="shared" ca="1" si="28"/>
        <v>-40.5</v>
      </c>
      <c r="Q183" s="18">
        <f t="shared" ca="1" si="29"/>
        <v>121.5</v>
      </c>
      <c r="R183" s="19">
        <f t="shared" ca="1" si="30"/>
        <v>196</v>
      </c>
      <c r="S183" s="15">
        <f t="shared" ca="1" si="31"/>
        <v>0</v>
      </c>
    </row>
    <row r="184" spans="9:19">
      <c r="I184" s="15">
        <f t="shared" si="32"/>
        <v>180</v>
      </c>
      <c r="J184" s="16">
        <f t="shared" ca="1" si="22"/>
        <v>398</v>
      </c>
      <c r="K184" s="16">
        <f t="shared" ca="1" si="23"/>
        <v>270</v>
      </c>
      <c r="L184" s="16">
        <f t="shared" ca="1" si="24"/>
        <v>0</v>
      </c>
      <c r="M184" s="17">
        <f t="shared" ca="1" si="25"/>
        <v>1350</v>
      </c>
      <c r="N184" s="17">
        <f t="shared" si="26"/>
        <v>-20</v>
      </c>
      <c r="O184" s="17">
        <f t="shared" si="27"/>
        <v>-810</v>
      </c>
      <c r="P184" s="18">
        <f t="shared" ca="1" si="28"/>
        <v>0</v>
      </c>
      <c r="Q184" s="18">
        <f t="shared" ca="1" si="29"/>
        <v>0</v>
      </c>
      <c r="R184" s="19">
        <f t="shared" ca="1" si="30"/>
        <v>520</v>
      </c>
      <c r="S184" s="15">
        <f t="shared" ca="1" si="31"/>
        <v>0</v>
      </c>
    </row>
    <row r="185" spans="9:19">
      <c r="I185" s="15">
        <f t="shared" si="32"/>
        <v>181</v>
      </c>
      <c r="J185" s="16">
        <f t="shared" ca="1" si="22"/>
        <v>197</v>
      </c>
      <c r="K185" s="16">
        <f t="shared" ca="1" si="23"/>
        <v>197</v>
      </c>
      <c r="L185" s="16">
        <f t="shared" ca="1" si="24"/>
        <v>73</v>
      </c>
      <c r="M185" s="17">
        <f t="shared" ca="1" si="25"/>
        <v>985</v>
      </c>
      <c r="N185" s="17">
        <f t="shared" si="26"/>
        <v>-20</v>
      </c>
      <c r="O185" s="17">
        <f t="shared" si="27"/>
        <v>-810</v>
      </c>
      <c r="P185" s="18">
        <f t="shared" ca="1" si="28"/>
        <v>-36.5</v>
      </c>
      <c r="Q185" s="18">
        <f t="shared" ca="1" si="29"/>
        <v>109.5</v>
      </c>
      <c r="R185" s="19">
        <f t="shared" ca="1" si="30"/>
        <v>228</v>
      </c>
      <c r="S185" s="15">
        <f t="shared" ca="1" si="31"/>
        <v>0</v>
      </c>
    </row>
    <row r="186" spans="9:19">
      <c r="I186" s="15">
        <f t="shared" si="32"/>
        <v>182</v>
      </c>
      <c r="J186" s="16">
        <f t="shared" ca="1" si="22"/>
        <v>198</v>
      </c>
      <c r="K186" s="16">
        <f t="shared" ca="1" si="23"/>
        <v>198</v>
      </c>
      <c r="L186" s="16">
        <f t="shared" ca="1" si="24"/>
        <v>72</v>
      </c>
      <c r="M186" s="17">
        <f t="shared" ca="1" si="25"/>
        <v>990</v>
      </c>
      <c r="N186" s="17">
        <f t="shared" si="26"/>
        <v>-20</v>
      </c>
      <c r="O186" s="17">
        <f t="shared" si="27"/>
        <v>-810</v>
      </c>
      <c r="P186" s="18">
        <f t="shared" ca="1" si="28"/>
        <v>-36</v>
      </c>
      <c r="Q186" s="18">
        <f t="shared" ca="1" si="29"/>
        <v>108</v>
      </c>
      <c r="R186" s="19">
        <f t="shared" ca="1" si="30"/>
        <v>232</v>
      </c>
      <c r="S186" s="15">
        <f t="shared" ca="1" si="31"/>
        <v>0</v>
      </c>
    </row>
    <row r="187" spans="9:19">
      <c r="I187" s="15">
        <f t="shared" si="32"/>
        <v>183</v>
      </c>
      <c r="J187" s="16">
        <f t="shared" ca="1" si="22"/>
        <v>342</v>
      </c>
      <c r="K187" s="16">
        <f t="shared" ca="1" si="23"/>
        <v>270</v>
      </c>
      <c r="L187" s="16">
        <f t="shared" ca="1" si="24"/>
        <v>0</v>
      </c>
      <c r="M187" s="17">
        <f t="shared" ca="1" si="25"/>
        <v>1350</v>
      </c>
      <c r="N187" s="17">
        <f t="shared" si="26"/>
        <v>-20</v>
      </c>
      <c r="O187" s="17">
        <f t="shared" si="27"/>
        <v>-810</v>
      </c>
      <c r="P187" s="18">
        <f t="shared" ca="1" si="28"/>
        <v>0</v>
      </c>
      <c r="Q187" s="18">
        <f t="shared" ca="1" si="29"/>
        <v>0</v>
      </c>
      <c r="R187" s="19">
        <f t="shared" ca="1" si="30"/>
        <v>520</v>
      </c>
      <c r="S187" s="15">
        <f t="shared" ca="1" si="31"/>
        <v>0</v>
      </c>
    </row>
    <row r="188" spans="9:19">
      <c r="I188" s="15">
        <f t="shared" si="32"/>
        <v>184</v>
      </c>
      <c r="J188" s="16">
        <f t="shared" ca="1" si="22"/>
        <v>163</v>
      </c>
      <c r="K188" s="16">
        <f t="shared" ca="1" si="23"/>
        <v>163</v>
      </c>
      <c r="L188" s="16">
        <f t="shared" ca="1" si="24"/>
        <v>107</v>
      </c>
      <c r="M188" s="17">
        <f t="shared" ca="1" si="25"/>
        <v>815</v>
      </c>
      <c r="N188" s="17">
        <f t="shared" si="26"/>
        <v>-20</v>
      </c>
      <c r="O188" s="17">
        <f t="shared" si="27"/>
        <v>-810</v>
      </c>
      <c r="P188" s="18">
        <f t="shared" ca="1" si="28"/>
        <v>-53.5</v>
      </c>
      <c r="Q188" s="18">
        <f t="shared" ca="1" si="29"/>
        <v>160.5</v>
      </c>
      <c r="R188" s="19">
        <f t="shared" ca="1" si="30"/>
        <v>92</v>
      </c>
      <c r="S188" s="15">
        <f t="shared" ca="1" si="31"/>
        <v>0</v>
      </c>
    </row>
    <row r="189" spans="9:19">
      <c r="I189" s="15">
        <f t="shared" si="32"/>
        <v>185</v>
      </c>
      <c r="J189" s="16">
        <f t="shared" ca="1" si="22"/>
        <v>330</v>
      </c>
      <c r="K189" s="16">
        <f t="shared" ca="1" si="23"/>
        <v>270</v>
      </c>
      <c r="L189" s="16">
        <f t="shared" ca="1" si="24"/>
        <v>0</v>
      </c>
      <c r="M189" s="17">
        <f t="shared" ca="1" si="25"/>
        <v>1350</v>
      </c>
      <c r="N189" s="17">
        <f t="shared" si="26"/>
        <v>-20</v>
      </c>
      <c r="O189" s="17">
        <f t="shared" si="27"/>
        <v>-810</v>
      </c>
      <c r="P189" s="18">
        <f t="shared" ca="1" si="28"/>
        <v>0</v>
      </c>
      <c r="Q189" s="18">
        <f t="shared" ca="1" si="29"/>
        <v>0</v>
      </c>
      <c r="R189" s="19">
        <f t="shared" ca="1" si="30"/>
        <v>520</v>
      </c>
      <c r="S189" s="15">
        <f t="shared" ca="1" si="31"/>
        <v>0</v>
      </c>
    </row>
    <row r="190" spans="9:19">
      <c r="I190" s="15">
        <f t="shared" si="32"/>
        <v>186</v>
      </c>
      <c r="J190" s="16">
        <f t="shared" ca="1" si="22"/>
        <v>132</v>
      </c>
      <c r="K190" s="16">
        <f t="shared" ca="1" si="23"/>
        <v>132</v>
      </c>
      <c r="L190" s="16">
        <f t="shared" ca="1" si="24"/>
        <v>138</v>
      </c>
      <c r="M190" s="17">
        <f t="shared" ca="1" si="25"/>
        <v>660</v>
      </c>
      <c r="N190" s="17">
        <f t="shared" si="26"/>
        <v>-20</v>
      </c>
      <c r="O190" s="17">
        <f t="shared" si="27"/>
        <v>-810</v>
      </c>
      <c r="P190" s="18">
        <f t="shared" ca="1" si="28"/>
        <v>-69</v>
      </c>
      <c r="Q190" s="18">
        <f t="shared" ca="1" si="29"/>
        <v>207</v>
      </c>
      <c r="R190" s="19">
        <f t="shared" ca="1" si="30"/>
        <v>-32</v>
      </c>
      <c r="S190" s="15">
        <f t="shared" ca="1" si="31"/>
        <v>1</v>
      </c>
    </row>
    <row r="191" spans="9:19">
      <c r="I191" s="15">
        <f t="shared" si="32"/>
        <v>187</v>
      </c>
      <c r="J191" s="16">
        <f t="shared" ca="1" si="22"/>
        <v>380</v>
      </c>
      <c r="K191" s="16">
        <f t="shared" ca="1" si="23"/>
        <v>270</v>
      </c>
      <c r="L191" s="16">
        <f t="shared" ca="1" si="24"/>
        <v>0</v>
      </c>
      <c r="M191" s="17">
        <f t="shared" ca="1" si="25"/>
        <v>1350</v>
      </c>
      <c r="N191" s="17">
        <f t="shared" si="26"/>
        <v>-20</v>
      </c>
      <c r="O191" s="17">
        <f t="shared" si="27"/>
        <v>-810</v>
      </c>
      <c r="P191" s="18">
        <f t="shared" ca="1" si="28"/>
        <v>0</v>
      </c>
      <c r="Q191" s="18">
        <f t="shared" ca="1" si="29"/>
        <v>0</v>
      </c>
      <c r="R191" s="19">
        <f t="shared" ca="1" si="30"/>
        <v>520</v>
      </c>
      <c r="S191" s="15">
        <f t="shared" ca="1" si="31"/>
        <v>0</v>
      </c>
    </row>
    <row r="192" spans="9:19">
      <c r="I192" s="15">
        <f t="shared" si="32"/>
        <v>188</v>
      </c>
      <c r="J192" s="16">
        <f t="shared" ca="1" si="22"/>
        <v>224</v>
      </c>
      <c r="K192" s="16">
        <f t="shared" ca="1" si="23"/>
        <v>224</v>
      </c>
      <c r="L192" s="16">
        <f t="shared" ca="1" si="24"/>
        <v>46</v>
      </c>
      <c r="M192" s="17">
        <f t="shared" ca="1" si="25"/>
        <v>1120</v>
      </c>
      <c r="N192" s="17">
        <f t="shared" si="26"/>
        <v>-20</v>
      </c>
      <c r="O192" s="17">
        <f t="shared" si="27"/>
        <v>-810</v>
      </c>
      <c r="P192" s="18">
        <f t="shared" ca="1" si="28"/>
        <v>-23</v>
      </c>
      <c r="Q192" s="18">
        <f t="shared" ca="1" si="29"/>
        <v>69</v>
      </c>
      <c r="R192" s="19">
        <f t="shared" ca="1" si="30"/>
        <v>336</v>
      </c>
      <c r="S192" s="15">
        <f t="shared" ca="1" si="31"/>
        <v>0</v>
      </c>
    </row>
    <row r="193" spans="9:19">
      <c r="I193" s="15">
        <f t="shared" si="32"/>
        <v>189</v>
      </c>
      <c r="J193" s="16">
        <f t="shared" ca="1" si="22"/>
        <v>141</v>
      </c>
      <c r="K193" s="16">
        <f t="shared" ca="1" si="23"/>
        <v>141</v>
      </c>
      <c r="L193" s="16">
        <f t="shared" ca="1" si="24"/>
        <v>129</v>
      </c>
      <c r="M193" s="17">
        <f t="shared" ca="1" si="25"/>
        <v>705</v>
      </c>
      <c r="N193" s="17">
        <f t="shared" si="26"/>
        <v>-20</v>
      </c>
      <c r="O193" s="17">
        <f t="shared" si="27"/>
        <v>-810</v>
      </c>
      <c r="P193" s="18">
        <f t="shared" ca="1" si="28"/>
        <v>-64.5</v>
      </c>
      <c r="Q193" s="18">
        <f t="shared" ca="1" si="29"/>
        <v>193.5</v>
      </c>
      <c r="R193" s="19">
        <f t="shared" ca="1" si="30"/>
        <v>4</v>
      </c>
      <c r="S193" s="15">
        <f t="shared" ca="1" si="31"/>
        <v>0</v>
      </c>
    </row>
    <row r="194" spans="9:19">
      <c r="I194" s="15">
        <f t="shared" si="32"/>
        <v>190</v>
      </c>
      <c r="J194" s="16">
        <f t="shared" ca="1" si="22"/>
        <v>394</v>
      </c>
      <c r="K194" s="16">
        <f t="shared" ca="1" si="23"/>
        <v>270</v>
      </c>
      <c r="L194" s="16">
        <f t="shared" ca="1" si="24"/>
        <v>0</v>
      </c>
      <c r="M194" s="17">
        <f t="shared" ca="1" si="25"/>
        <v>1350</v>
      </c>
      <c r="N194" s="17">
        <f t="shared" si="26"/>
        <v>-20</v>
      </c>
      <c r="O194" s="17">
        <f t="shared" si="27"/>
        <v>-810</v>
      </c>
      <c r="P194" s="18">
        <f t="shared" ca="1" si="28"/>
        <v>0</v>
      </c>
      <c r="Q194" s="18">
        <f t="shared" ca="1" si="29"/>
        <v>0</v>
      </c>
      <c r="R194" s="19">
        <f t="shared" ca="1" si="30"/>
        <v>520</v>
      </c>
      <c r="S194" s="15">
        <f t="shared" ca="1" si="31"/>
        <v>0</v>
      </c>
    </row>
    <row r="195" spans="9:19">
      <c r="I195" s="15">
        <f t="shared" si="32"/>
        <v>191</v>
      </c>
      <c r="J195" s="16">
        <f t="shared" ca="1" si="22"/>
        <v>171</v>
      </c>
      <c r="K195" s="16">
        <f t="shared" ca="1" si="23"/>
        <v>171</v>
      </c>
      <c r="L195" s="16">
        <f t="shared" ca="1" si="24"/>
        <v>99</v>
      </c>
      <c r="M195" s="17">
        <f t="shared" ca="1" si="25"/>
        <v>855</v>
      </c>
      <c r="N195" s="17">
        <f t="shared" si="26"/>
        <v>-20</v>
      </c>
      <c r="O195" s="17">
        <f t="shared" si="27"/>
        <v>-810</v>
      </c>
      <c r="P195" s="18">
        <f t="shared" ca="1" si="28"/>
        <v>-49.5</v>
      </c>
      <c r="Q195" s="18">
        <f t="shared" ca="1" si="29"/>
        <v>148.5</v>
      </c>
      <c r="R195" s="19">
        <f t="shared" ca="1" si="30"/>
        <v>124</v>
      </c>
      <c r="S195" s="15">
        <f t="shared" ca="1" si="31"/>
        <v>0</v>
      </c>
    </row>
    <row r="196" spans="9:19">
      <c r="I196" s="15">
        <f t="shared" si="32"/>
        <v>192</v>
      </c>
      <c r="J196" s="16">
        <f t="shared" ca="1" si="22"/>
        <v>219</v>
      </c>
      <c r="K196" s="16">
        <f t="shared" ca="1" si="23"/>
        <v>219</v>
      </c>
      <c r="L196" s="16">
        <f t="shared" ca="1" si="24"/>
        <v>51</v>
      </c>
      <c r="M196" s="17">
        <f t="shared" ca="1" si="25"/>
        <v>1095</v>
      </c>
      <c r="N196" s="17">
        <f t="shared" si="26"/>
        <v>-20</v>
      </c>
      <c r="O196" s="17">
        <f t="shared" si="27"/>
        <v>-810</v>
      </c>
      <c r="P196" s="18">
        <f t="shared" ca="1" si="28"/>
        <v>-25.5</v>
      </c>
      <c r="Q196" s="18">
        <f t="shared" ca="1" si="29"/>
        <v>76.5</v>
      </c>
      <c r="R196" s="19">
        <f t="shared" ca="1" si="30"/>
        <v>316</v>
      </c>
      <c r="S196" s="15">
        <f t="shared" ca="1" si="31"/>
        <v>0</v>
      </c>
    </row>
    <row r="197" spans="9:19">
      <c r="I197" s="15">
        <f t="shared" si="32"/>
        <v>193</v>
      </c>
      <c r="J197" s="16">
        <f t="shared" ca="1" si="22"/>
        <v>263</v>
      </c>
      <c r="K197" s="16">
        <f t="shared" ca="1" si="23"/>
        <v>263</v>
      </c>
      <c r="L197" s="16">
        <f t="shared" ca="1" si="24"/>
        <v>7</v>
      </c>
      <c r="M197" s="17">
        <f t="shared" ca="1" si="25"/>
        <v>1315</v>
      </c>
      <c r="N197" s="17">
        <f t="shared" si="26"/>
        <v>-20</v>
      </c>
      <c r="O197" s="17">
        <f t="shared" si="27"/>
        <v>-810</v>
      </c>
      <c r="P197" s="18">
        <f t="shared" ca="1" si="28"/>
        <v>-3.5</v>
      </c>
      <c r="Q197" s="18">
        <f t="shared" ca="1" si="29"/>
        <v>10.5</v>
      </c>
      <c r="R197" s="19">
        <f t="shared" ca="1" si="30"/>
        <v>492</v>
      </c>
      <c r="S197" s="15">
        <f t="shared" ca="1" si="31"/>
        <v>0</v>
      </c>
    </row>
    <row r="198" spans="9:19">
      <c r="I198" s="15">
        <f t="shared" si="32"/>
        <v>194</v>
      </c>
      <c r="J198" s="16">
        <f t="shared" ref="J198:J261" ca="1" si="33">RANDBETWEEN(120,420)</f>
        <v>140</v>
      </c>
      <c r="K198" s="16">
        <f t="shared" ref="K198:K261" ca="1" si="34">IF(J198&gt;=$D$18,$D$18,J198)</f>
        <v>140</v>
      </c>
      <c r="L198" s="16">
        <f t="shared" ref="L198:L261" ca="1" si="35">$D$18-K198</f>
        <v>130</v>
      </c>
      <c r="M198" s="17">
        <f t="shared" ref="M198:M261" ca="1" si="36">K198*5</f>
        <v>700</v>
      </c>
      <c r="N198" s="17">
        <f t="shared" ref="N198:N261" si="37">-$D$10</f>
        <v>-20</v>
      </c>
      <c r="O198" s="17">
        <f t="shared" ref="O198:O261" si="38">-$D$6*$D$18</f>
        <v>-810</v>
      </c>
      <c r="P198" s="18">
        <f t="shared" ref="P198:P261" ca="1" si="39">-L198*$D$9</f>
        <v>-65</v>
      </c>
      <c r="Q198" s="18">
        <f t="shared" ref="Q198:Q261" ca="1" si="40">L198*($D$6*$D$8)</f>
        <v>195</v>
      </c>
      <c r="R198" s="19">
        <f t="shared" ref="R198:R261" ca="1" si="41">SUM(M198:Q198)</f>
        <v>0</v>
      </c>
      <c r="S198" s="15">
        <f t="shared" ref="S198:S261" ca="1" si="42">IF(R198&lt;0,1,0)</f>
        <v>0</v>
      </c>
    </row>
    <row r="199" spans="9:19">
      <c r="I199" s="15">
        <f t="shared" ref="I199:I262" si="43">I198+1</f>
        <v>195</v>
      </c>
      <c r="J199" s="16">
        <f t="shared" ca="1" si="33"/>
        <v>409</v>
      </c>
      <c r="K199" s="16">
        <f t="shared" ca="1" si="34"/>
        <v>270</v>
      </c>
      <c r="L199" s="16">
        <f t="shared" ca="1" si="35"/>
        <v>0</v>
      </c>
      <c r="M199" s="17">
        <f t="shared" ca="1" si="36"/>
        <v>1350</v>
      </c>
      <c r="N199" s="17">
        <f t="shared" si="37"/>
        <v>-20</v>
      </c>
      <c r="O199" s="17">
        <f t="shared" si="38"/>
        <v>-810</v>
      </c>
      <c r="P199" s="18">
        <f t="shared" ca="1" si="39"/>
        <v>0</v>
      </c>
      <c r="Q199" s="18">
        <f t="shared" ca="1" si="40"/>
        <v>0</v>
      </c>
      <c r="R199" s="19">
        <f t="shared" ca="1" si="41"/>
        <v>520</v>
      </c>
      <c r="S199" s="15">
        <f t="shared" ca="1" si="42"/>
        <v>0</v>
      </c>
    </row>
    <row r="200" spans="9:19">
      <c r="I200" s="15">
        <f t="shared" si="43"/>
        <v>196</v>
      </c>
      <c r="J200" s="16">
        <f t="shared" ca="1" si="33"/>
        <v>357</v>
      </c>
      <c r="K200" s="16">
        <f t="shared" ca="1" si="34"/>
        <v>270</v>
      </c>
      <c r="L200" s="16">
        <f t="shared" ca="1" si="35"/>
        <v>0</v>
      </c>
      <c r="M200" s="17">
        <f t="shared" ca="1" si="36"/>
        <v>1350</v>
      </c>
      <c r="N200" s="17">
        <f t="shared" si="37"/>
        <v>-20</v>
      </c>
      <c r="O200" s="17">
        <f t="shared" si="38"/>
        <v>-810</v>
      </c>
      <c r="P200" s="18">
        <f t="shared" ca="1" si="39"/>
        <v>0</v>
      </c>
      <c r="Q200" s="18">
        <f t="shared" ca="1" si="40"/>
        <v>0</v>
      </c>
      <c r="R200" s="19">
        <f t="shared" ca="1" si="41"/>
        <v>520</v>
      </c>
      <c r="S200" s="15">
        <f t="shared" ca="1" si="42"/>
        <v>0</v>
      </c>
    </row>
    <row r="201" spans="9:19">
      <c r="I201" s="15">
        <f t="shared" si="43"/>
        <v>197</v>
      </c>
      <c r="J201" s="16">
        <f t="shared" ca="1" si="33"/>
        <v>278</v>
      </c>
      <c r="K201" s="16">
        <f t="shared" ca="1" si="34"/>
        <v>270</v>
      </c>
      <c r="L201" s="16">
        <f t="shared" ca="1" si="35"/>
        <v>0</v>
      </c>
      <c r="M201" s="17">
        <f t="shared" ca="1" si="36"/>
        <v>1350</v>
      </c>
      <c r="N201" s="17">
        <f t="shared" si="37"/>
        <v>-20</v>
      </c>
      <c r="O201" s="17">
        <f t="shared" si="38"/>
        <v>-810</v>
      </c>
      <c r="P201" s="18">
        <f t="shared" ca="1" si="39"/>
        <v>0</v>
      </c>
      <c r="Q201" s="18">
        <f t="shared" ca="1" si="40"/>
        <v>0</v>
      </c>
      <c r="R201" s="19">
        <f t="shared" ca="1" si="41"/>
        <v>520</v>
      </c>
      <c r="S201" s="15">
        <f t="shared" ca="1" si="42"/>
        <v>0</v>
      </c>
    </row>
    <row r="202" spans="9:19">
      <c r="I202" s="15">
        <f t="shared" si="43"/>
        <v>198</v>
      </c>
      <c r="J202" s="16">
        <f t="shared" ca="1" si="33"/>
        <v>209</v>
      </c>
      <c r="K202" s="16">
        <f t="shared" ca="1" si="34"/>
        <v>209</v>
      </c>
      <c r="L202" s="16">
        <f t="shared" ca="1" si="35"/>
        <v>61</v>
      </c>
      <c r="M202" s="17">
        <f t="shared" ca="1" si="36"/>
        <v>1045</v>
      </c>
      <c r="N202" s="17">
        <f t="shared" si="37"/>
        <v>-20</v>
      </c>
      <c r="O202" s="17">
        <f t="shared" si="38"/>
        <v>-810</v>
      </c>
      <c r="P202" s="18">
        <f t="shared" ca="1" si="39"/>
        <v>-30.5</v>
      </c>
      <c r="Q202" s="18">
        <f t="shared" ca="1" si="40"/>
        <v>91.5</v>
      </c>
      <c r="R202" s="19">
        <f t="shared" ca="1" si="41"/>
        <v>276</v>
      </c>
      <c r="S202" s="15">
        <f t="shared" ca="1" si="42"/>
        <v>0</v>
      </c>
    </row>
    <row r="203" spans="9:19">
      <c r="I203" s="15">
        <f t="shared" si="43"/>
        <v>199</v>
      </c>
      <c r="J203" s="16">
        <f t="shared" ca="1" si="33"/>
        <v>172</v>
      </c>
      <c r="K203" s="16">
        <f t="shared" ca="1" si="34"/>
        <v>172</v>
      </c>
      <c r="L203" s="16">
        <f t="shared" ca="1" si="35"/>
        <v>98</v>
      </c>
      <c r="M203" s="17">
        <f t="shared" ca="1" si="36"/>
        <v>860</v>
      </c>
      <c r="N203" s="17">
        <f t="shared" si="37"/>
        <v>-20</v>
      </c>
      <c r="O203" s="17">
        <f t="shared" si="38"/>
        <v>-810</v>
      </c>
      <c r="P203" s="18">
        <f t="shared" ca="1" si="39"/>
        <v>-49</v>
      </c>
      <c r="Q203" s="18">
        <f t="shared" ca="1" si="40"/>
        <v>147</v>
      </c>
      <c r="R203" s="19">
        <f t="shared" ca="1" si="41"/>
        <v>128</v>
      </c>
      <c r="S203" s="15">
        <f t="shared" ca="1" si="42"/>
        <v>0</v>
      </c>
    </row>
    <row r="204" spans="9:19">
      <c r="I204" s="15">
        <f t="shared" si="43"/>
        <v>200</v>
      </c>
      <c r="J204" s="16">
        <f t="shared" ca="1" si="33"/>
        <v>191</v>
      </c>
      <c r="K204" s="16">
        <f t="shared" ca="1" si="34"/>
        <v>191</v>
      </c>
      <c r="L204" s="16">
        <f t="shared" ca="1" si="35"/>
        <v>79</v>
      </c>
      <c r="M204" s="17">
        <f t="shared" ca="1" si="36"/>
        <v>955</v>
      </c>
      <c r="N204" s="17">
        <f t="shared" si="37"/>
        <v>-20</v>
      </c>
      <c r="O204" s="17">
        <f t="shared" si="38"/>
        <v>-810</v>
      </c>
      <c r="P204" s="18">
        <f t="shared" ca="1" si="39"/>
        <v>-39.5</v>
      </c>
      <c r="Q204" s="18">
        <f t="shared" ca="1" si="40"/>
        <v>118.5</v>
      </c>
      <c r="R204" s="19">
        <f t="shared" ca="1" si="41"/>
        <v>204</v>
      </c>
      <c r="S204" s="15">
        <f t="shared" ca="1" si="42"/>
        <v>0</v>
      </c>
    </row>
    <row r="205" spans="9:19">
      <c r="I205" s="15">
        <f t="shared" si="43"/>
        <v>201</v>
      </c>
      <c r="J205" s="16">
        <f t="shared" ca="1" si="33"/>
        <v>124</v>
      </c>
      <c r="K205" s="16">
        <f t="shared" ca="1" si="34"/>
        <v>124</v>
      </c>
      <c r="L205" s="16">
        <f t="shared" ca="1" si="35"/>
        <v>146</v>
      </c>
      <c r="M205" s="17">
        <f t="shared" ca="1" si="36"/>
        <v>620</v>
      </c>
      <c r="N205" s="17">
        <f t="shared" si="37"/>
        <v>-20</v>
      </c>
      <c r="O205" s="17">
        <f t="shared" si="38"/>
        <v>-810</v>
      </c>
      <c r="P205" s="18">
        <f t="shared" ca="1" si="39"/>
        <v>-73</v>
      </c>
      <c r="Q205" s="18">
        <f t="shared" ca="1" si="40"/>
        <v>219</v>
      </c>
      <c r="R205" s="19">
        <f t="shared" ca="1" si="41"/>
        <v>-64</v>
      </c>
      <c r="S205" s="15">
        <f t="shared" ca="1" si="42"/>
        <v>1</v>
      </c>
    </row>
    <row r="206" spans="9:19">
      <c r="I206" s="15">
        <f t="shared" si="43"/>
        <v>202</v>
      </c>
      <c r="J206" s="16">
        <f t="shared" ca="1" si="33"/>
        <v>278</v>
      </c>
      <c r="K206" s="16">
        <f t="shared" ca="1" si="34"/>
        <v>270</v>
      </c>
      <c r="L206" s="16">
        <f t="shared" ca="1" si="35"/>
        <v>0</v>
      </c>
      <c r="M206" s="17">
        <f t="shared" ca="1" si="36"/>
        <v>1350</v>
      </c>
      <c r="N206" s="17">
        <f t="shared" si="37"/>
        <v>-20</v>
      </c>
      <c r="O206" s="17">
        <f t="shared" si="38"/>
        <v>-810</v>
      </c>
      <c r="P206" s="18">
        <f t="shared" ca="1" si="39"/>
        <v>0</v>
      </c>
      <c r="Q206" s="18">
        <f t="shared" ca="1" si="40"/>
        <v>0</v>
      </c>
      <c r="R206" s="19">
        <f t="shared" ca="1" si="41"/>
        <v>520</v>
      </c>
      <c r="S206" s="15">
        <f t="shared" ca="1" si="42"/>
        <v>0</v>
      </c>
    </row>
    <row r="207" spans="9:19">
      <c r="I207" s="15">
        <f t="shared" si="43"/>
        <v>203</v>
      </c>
      <c r="J207" s="16">
        <f t="shared" ca="1" si="33"/>
        <v>234</v>
      </c>
      <c r="K207" s="16">
        <f t="shared" ca="1" si="34"/>
        <v>234</v>
      </c>
      <c r="L207" s="16">
        <f t="shared" ca="1" si="35"/>
        <v>36</v>
      </c>
      <c r="M207" s="17">
        <f t="shared" ca="1" si="36"/>
        <v>1170</v>
      </c>
      <c r="N207" s="17">
        <f t="shared" si="37"/>
        <v>-20</v>
      </c>
      <c r="O207" s="17">
        <f t="shared" si="38"/>
        <v>-810</v>
      </c>
      <c r="P207" s="18">
        <f t="shared" ca="1" si="39"/>
        <v>-18</v>
      </c>
      <c r="Q207" s="18">
        <f t="shared" ca="1" si="40"/>
        <v>54</v>
      </c>
      <c r="R207" s="19">
        <f t="shared" ca="1" si="41"/>
        <v>376</v>
      </c>
      <c r="S207" s="15">
        <f t="shared" ca="1" si="42"/>
        <v>0</v>
      </c>
    </row>
    <row r="208" spans="9:19">
      <c r="I208" s="15">
        <f t="shared" si="43"/>
        <v>204</v>
      </c>
      <c r="J208" s="16">
        <f t="shared" ca="1" si="33"/>
        <v>148</v>
      </c>
      <c r="K208" s="16">
        <f t="shared" ca="1" si="34"/>
        <v>148</v>
      </c>
      <c r="L208" s="16">
        <f t="shared" ca="1" si="35"/>
        <v>122</v>
      </c>
      <c r="M208" s="17">
        <f t="shared" ca="1" si="36"/>
        <v>740</v>
      </c>
      <c r="N208" s="17">
        <f t="shared" si="37"/>
        <v>-20</v>
      </c>
      <c r="O208" s="17">
        <f t="shared" si="38"/>
        <v>-810</v>
      </c>
      <c r="P208" s="18">
        <f t="shared" ca="1" si="39"/>
        <v>-61</v>
      </c>
      <c r="Q208" s="18">
        <f t="shared" ca="1" si="40"/>
        <v>183</v>
      </c>
      <c r="R208" s="19">
        <f t="shared" ca="1" si="41"/>
        <v>32</v>
      </c>
      <c r="S208" s="15">
        <f t="shared" ca="1" si="42"/>
        <v>0</v>
      </c>
    </row>
    <row r="209" spans="9:19">
      <c r="I209" s="15">
        <f t="shared" si="43"/>
        <v>205</v>
      </c>
      <c r="J209" s="16">
        <f t="shared" ca="1" si="33"/>
        <v>205</v>
      </c>
      <c r="K209" s="16">
        <f t="shared" ca="1" si="34"/>
        <v>205</v>
      </c>
      <c r="L209" s="16">
        <f t="shared" ca="1" si="35"/>
        <v>65</v>
      </c>
      <c r="M209" s="17">
        <f t="shared" ca="1" si="36"/>
        <v>1025</v>
      </c>
      <c r="N209" s="17">
        <f t="shared" si="37"/>
        <v>-20</v>
      </c>
      <c r="O209" s="17">
        <f t="shared" si="38"/>
        <v>-810</v>
      </c>
      <c r="P209" s="18">
        <f t="shared" ca="1" si="39"/>
        <v>-32.5</v>
      </c>
      <c r="Q209" s="18">
        <f t="shared" ca="1" si="40"/>
        <v>97.5</v>
      </c>
      <c r="R209" s="19">
        <f t="shared" ca="1" si="41"/>
        <v>260</v>
      </c>
      <c r="S209" s="15">
        <f t="shared" ca="1" si="42"/>
        <v>0</v>
      </c>
    </row>
    <row r="210" spans="9:19">
      <c r="I210" s="15">
        <f t="shared" si="43"/>
        <v>206</v>
      </c>
      <c r="J210" s="16">
        <f t="shared" ca="1" si="33"/>
        <v>195</v>
      </c>
      <c r="K210" s="16">
        <f t="shared" ca="1" si="34"/>
        <v>195</v>
      </c>
      <c r="L210" s="16">
        <f t="shared" ca="1" si="35"/>
        <v>75</v>
      </c>
      <c r="M210" s="17">
        <f t="shared" ca="1" si="36"/>
        <v>975</v>
      </c>
      <c r="N210" s="17">
        <f t="shared" si="37"/>
        <v>-20</v>
      </c>
      <c r="O210" s="17">
        <f t="shared" si="38"/>
        <v>-810</v>
      </c>
      <c r="P210" s="18">
        <f t="shared" ca="1" si="39"/>
        <v>-37.5</v>
      </c>
      <c r="Q210" s="18">
        <f t="shared" ca="1" si="40"/>
        <v>112.5</v>
      </c>
      <c r="R210" s="19">
        <f t="shared" ca="1" si="41"/>
        <v>220</v>
      </c>
      <c r="S210" s="15">
        <f t="shared" ca="1" si="42"/>
        <v>0</v>
      </c>
    </row>
    <row r="211" spans="9:19">
      <c r="I211" s="15">
        <f t="shared" si="43"/>
        <v>207</v>
      </c>
      <c r="J211" s="16">
        <f t="shared" ca="1" si="33"/>
        <v>307</v>
      </c>
      <c r="K211" s="16">
        <f t="shared" ca="1" si="34"/>
        <v>270</v>
      </c>
      <c r="L211" s="16">
        <f t="shared" ca="1" si="35"/>
        <v>0</v>
      </c>
      <c r="M211" s="17">
        <f t="shared" ca="1" si="36"/>
        <v>1350</v>
      </c>
      <c r="N211" s="17">
        <f t="shared" si="37"/>
        <v>-20</v>
      </c>
      <c r="O211" s="17">
        <f t="shared" si="38"/>
        <v>-810</v>
      </c>
      <c r="P211" s="18">
        <f t="shared" ca="1" si="39"/>
        <v>0</v>
      </c>
      <c r="Q211" s="18">
        <f t="shared" ca="1" si="40"/>
        <v>0</v>
      </c>
      <c r="R211" s="19">
        <f t="shared" ca="1" si="41"/>
        <v>520</v>
      </c>
      <c r="S211" s="15">
        <f t="shared" ca="1" si="42"/>
        <v>0</v>
      </c>
    </row>
    <row r="212" spans="9:19">
      <c r="I212" s="15">
        <f t="shared" si="43"/>
        <v>208</v>
      </c>
      <c r="J212" s="16">
        <f t="shared" ca="1" si="33"/>
        <v>273</v>
      </c>
      <c r="K212" s="16">
        <f t="shared" ca="1" si="34"/>
        <v>270</v>
      </c>
      <c r="L212" s="16">
        <f t="shared" ca="1" si="35"/>
        <v>0</v>
      </c>
      <c r="M212" s="17">
        <f t="shared" ca="1" si="36"/>
        <v>1350</v>
      </c>
      <c r="N212" s="17">
        <f t="shared" si="37"/>
        <v>-20</v>
      </c>
      <c r="O212" s="17">
        <f t="shared" si="38"/>
        <v>-810</v>
      </c>
      <c r="P212" s="18">
        <f t="shared" ca="1" si="39"/>
        <v>0</v>
      </c>
      <c r="Q212" s="18">
        <f t="shared" ca="1" si="40"/>
        <v>0</v>
      </c>
      <c r="R212" s="19">
        <f t="shared" ca="1" si="41"/>
        <v>520</v>
      </c>
      <c r="S212" s="15">
        <f t="shared" ca="1" si="42"/>
        <v>0</v>
      </c>
    </row>
    <row r="213" spans="9:19">
      <c r="I213" s="15">
        <f t="shared" si="43"/>
        <v>209</v>
      </c>
      <c r="J213" s="16">
        <f t="shared" ca="1" si="33"/>
        <v>346</v>
      </c>
      <c r="K213" s="16">
        <f t="shared" ca="1" si="34"/>
        <v>270</v>
      </c>
      <c r="L213" s="16">
        <f t="shared" ca="1" si="35"/>
        <v>0</v>
      </c>
      <c r="M213" s="17">
        <f t="shared" ca="1" si="36"/>
        <v>1350</v>
      </c>
      <c r="N213" s="17">
        <f t="shared" si="37"/>
        <v>-20</v>
      </c>
      <c r="O213" s="17">
        <f t="shared" si="38"/>
        <v>-810</v>
      </c>
      <c r="P213" s="18">
        <f t="shared" ca="1" si="39"/>
        <v>0</v>
      </c>
      <c r="Q213" s="18">
        <f t="shared" ca="1" si="40"/>
        <v>0</v>
      </c>
      <c r="R213" s="19">
        <f t="shared" ca="1" si="41"/>
        <v>520</v>
      </c>
      <c r="S213" s="15">
        <f t="shared" ca="1" si="42"/>
        <v>0</v>
      </c>
    </row>
    <row r="214" spans="9:19">
      <c r="I214" s="15">
        <f t="shared" si="43"/>
        <v>210</v>
      </c>
      <c r="J214" s="16">
        <f t="shared" ca="1" si="33"/>
        <v>416</v>
      </c>
      <c r="K214" s="16">
        <f t="shared" ca="1" si="34"/>
        <v>270</v>
      </c>
      <c r="L214" s="16">
        <f t="shared" ca="1" si="35"/>
        <v>0</v>
      </c>
      <c r="M214" s="17">
        <f t="shared" ca="1" si="36"/>
        <v>1350</v>
      </c>
      <c r="N214" s="17">
        <f t="shared" si="37"/>
        <v>-20</v>
      </c>
      <c r="O214" s="17">
        <f t="shared" si="38"/>
        <v>-810</v>
      </c>
      <c r="P214" s="18">
        <f t="shared" ca="1" si="39"/>
        <v>0</v>
      </c>
      <c r="Q214" s="18">
        <f t="shared" ca="1" si="40"/>
        <v>0</v>
      </c>
      <c r="R214" s="19">
        <f t="shared" ca="1" si="41"/>
        <v>520</v>
      </c>
      <c r="S214" s="15">
        <f t="shared" ca="1" si="42"/>
        <v>0</v>
      </c>
    </row>
    <row r="215" spans="9:19">
      <c r="I215" s="15">
        <f t="shared" si="43"/>
        <v>211</v>
      </c>
      <c r="J215" s="16">
        <f t="shared" ca="1" si="33"/>
        <v>387</v>
      </c>
      <c r="K215" s="16">
        <f t="shared" ca="1" si="34"/>
        <v>270</v>
      </c>
      <c r="L215" s="16">
        <f t="shared" ca="1" si="35"/>
        <v>0</v>
      </c>
      <c r="M215" s="17">
        <f t="shared" ca="1" si="36"/>
        <v>1350</v>
      </c>
      <c r="N215" s="17">
        <f t="shared" si="37"/>
        <v>-20</v>
      </c>
      <c r="O215" s="17">
        <f t="shared" si="38"/>
        <v>-810</v>
      </c>
      <c r="P215" s="18">
        <f t="shared" ca="1" si="39"/>
        <v>0</v>
      </c>
      <c r="Q215" s="18">
        <f t="shared" ca="1" si="40"/>
        <v>0</v>
      </c>
      <c r="R215" s="19">
        <f t="shared" ca="1" si="41"/>
        <v>520</v>
      </c>
      <c r="S215" s="15">
        <f t="shared" ca="1" si="42"/>
        <v>0</v>
      </c>
    </row>
    <row r="216" spans="9:19">
      <c r="I216" s="15">
        <f t="shared" si="43"/>
        <v>212</v>
      </c>
      <c r="J216" s="16">
        <f t="shared" ca="1" si="33"/>
        <v>206</v>
      </c>
      <c r="K216" s="16">
        <f t="shared" ca="1" si="34"/>
        <v>206</v>
      </c>
      <c r="L216" s="16">
        <f t="shared" ca="1" si="35"/>
        <v>64</v>
      </c>
      <c r="M216" s="17">
        <f t="shared" ca="1" si="36"/>
        <v>1030</v>
      </c>
      <c r="N216" s="17">
        <f t="shared" si="37"/>
        <v>-20</v>
      </c>
      <c r="O216" s="17">
        <f t="shared" si="38"/>
        <v>-810</v>
      </c>
      <c r="P216" s="18">
        <f t="shared" ca="1" si="39"/>
        <v>-32</v>
      </c>
      <c r="Q216" s="18">
        <f t="shared" ca="1" si="40"/>
        <v>96</v>
      </c>
      <c r="R216" s="19">
        <f t="shared" ca="1" si="41"/>
        <v>264</v>
      </c>
      <c r="S216" s="15">
        <f t="shared" ca="1" si="42"/>
        <v>0</v>
      </c>
    </row>
    <row r="217" spans="9:19">
      <c r="I217" s="15">
        <f t="shared" si="43"/>
        <v>213</v>
      </c>
      <c r="J217" s="16">
        <f t="shared" ca="1" si="33"/>
        <v>257</v>
      </c>
      <c r="K217" s="16">
        <f t="shared" ca="1" si="34"/>
        <v>257</v>
      </c>
      <c r="L217" s="16">
        <f t="shared" ca="1" si="35"/>
        <v>13</v>
      </c>
      <c r="M217" s="17">
        <f t="shared" ca="1" si="36"/>
        <v>1285</v>
      </c>
      <c r="N217" s="17">
        <f t="shared" si="37"/>
        <v>-20</v>
      </c>
      <c r="O217" s="17">
        <f t="shared" si="38"/>
        <v>-810</v>
      </c>
      <c r="P217" s="18">
        <f t="shared" ca="1" si="39"/>
        <v>-6.5</v>
      </c>
      <c r="Q217" s="18">
        <f t="shared" ca="1" si="40"/>
        <v>19.5</v>
      </c>
      <c r="R217" s="19">
        <f t="shared" ca="1" si="41"/>
        <v>468</v>
      </c>
      <c r="S217" s="15">
        <f t="shared" ca="1" si="42"/>
        <v>0</v>
      </c>
    </row>
    <row r="218" spans="9:19">
      <c r="I218" s="15">
        <f t="shared" si="43"/>
        <v>214</v>
      </c>
      <c r="J218" s="16">
        <f t="shared" ca="1" si="33"/>
        <v>132</v>
      </c>
      <c r="K218" s="16">
        <f t="shared" ca="1" si="34"/>
        <v>132</v>
      </c>
      <c r="L218" s="16">
        <f t="shared" ca="1" si="35"/>
        <v>138</v>
      </c>
      <c r="M218" s="17">
        <f t="shared" ca="1" si="36"/>
        <v>660</v>
      </c>
      <c r="N218" s="17">
        <f t="shared" si="37"/>
        <v>-20</v>
      </c>
      <c r="O218" s="17">
        <f t="shared" si="38"/>
        <v>-810</v>
      </c>
      <c r="P218" s="18">
        <f t="shared" ca="1" si="39"/>
        <v>-69</v>
      </c>
      <c r="Q218" s="18">
        <f t="shared" ca="1" si="40"/>
        <v>207</v>
      </c>
      <c r="R218" s="19">
        <f t="shared" ca="1" si="41"/>
        <v>-32</v>
      </c>
      <c r="S218" s="15">
        <f t="shared" ca="1" si="42"/>
        <v>1</v>
      </c>
    </row>
    <row r="219" spans="9:19">
      <c r="I219" s="15">
        <f t="shared" si="43"/>
        <v>215</v>
      </c>
      <c r="J219" s="16">
        <f t="shared" ca="1" si="33"/>
        <v>214</v>
      </c>
      <c r="K219" s="16">
        <f t="shared" ca="1" si="34"/>
        <v>214</v>
      </c>
      <c r="L219" s="16">
        <f t="shared" ca="1" si="35"/>
        <v>56</v>
      </c>
      <c r="M219" s="17">
        <f t="shared" ca="1" si="36"/>
        <v>1070</v>
      </c>
      <c r="N219" s="17">
        <f t="shared" si="37"/>
        <v>-20</v>
      </c>
      <c r="O219" s="17">
        <f t="shared" si="38"/>
        <v>-810</v>
      </c>
      <c r="P219" s="18">
        <f t="shared" ca="1" si="39"/>
        <v>-28</v>
      </c>
      <c r="Q219" s="18">
        <f t="shared" ca="1" si="40"/>
        <v>84</v>
      </c>
      <c r="R219" s="19">
        <f t="shared" ca="1" si="41"/>
        <v>296</v>
      </c>
      <c r="S219" s="15">
        <f t="shared" ca="1" si="42"/>
        <v>0</v>
      </c>
    </row>
    <row r="220" spans="9:19">
      <c r="I220" s="15">
        <f t="shared" si="43"/>
        <v>216</v>
      </c>
      <c r="J220" s="16">
        <f t="shared" ca="1" si="33"/>
        <v>158</v>
      </c>
      <c r="K220" s="16">
        <f t="shared" ca="1" si="34"/>
        <v>158</v>
      </c>
      <c r="L220" s="16">
        <f t="shared" ca="1" si="35"/>
        <v>112</v>
      </c>
      <c r="M220" s="17">
        <f t="shared" ca="1" si="36"/>
        <v>790</v>
      </c>
      <c r="N220" s="17">
        <f t="shared" si="37"/>
        <v>-20</v>
      </c>
      <c r="O220" s="17">
        <f t="shared" si="38"/>
        <v>-810</v>
      </c>
      <c r="P220" s="18">
        <f t="shared" ca="1" si="39"/>
        <v>-56</v>
      </c>
      <c r="Q220" s="18">
        <f t="shared" ca="1" si="40"/>
        <v>168</v>
      </c>
      <c r="R220" s="19">
        <f t="shared" ca="1" si="41"/>
        <v>72</v>
      </c>
      <c r="S220" s="15">
        <f t="shared" ca="1" si="42"/>
        <v>0</v>
      </c>
    </row>
    <row r="221" spans="9:19">
      <c r="I221" s="15">
        <f t="shared" si="43"/>
        <v>217</v>
      </c>
      <c r="J221" s="16">
        <f t="shared" ca="1" si="33"/>
        <v>291</v>
      </c>
      <c r="K221" s="16">
        <f t="shared" ca="1" si="34"/>
        <v>270</v>
      </c>
      <c r="L221" s="16">
        <f t="shared" ca="1" si="35"/>
        <v>0</v>
      </c>
      <c r="M221" s="17">
        <f t="shared" ca="1" si="36"/>
        <v>1350</v>
      </c>
      <c r="N221" s="17">
        <f t="shared" si="37"/>
        <v>-20</v>
      </c>
      <c r="O221" s="17">
        <f t="shared" si="38"/>
        <v>-810</v>
      </c>
      <c r="P221" s="18">
        <f t="shared" ca="1" si="39"/>
        <v>0</v>
      </c>
      <c r="Q221" s="18">
        <f t="shared" ca="1" si="40"/>
        <v>0</v>
      </c>
      <c r="R221" s="19">
        <f t="shared" ca="1" si="41"/>
        <v>520</v>
      </c>
      <c r="S221" s="15">
        <f t="shared" ca="1" si="42"/>
        <v>0</v>
      </c>
    </row>
    <row r="222" spans="9:19">
      <c r="I222" s="15">
        <f t="shared" si="43"/>
        <v>218</v>
      </c>
      <c r="J222" s="16">
        <f t="shared" ca="1" si="33"/>
        <v>220</v>
      </c>
      <c r="K222" s="16">
        <f t="shared" ca="1" si="34"/>
        <v>220</v>
      </c>
      <c r="L222" s="16">
        <f t="shared" ca="1" si="35"/>
        <v>50</v>
      </c>
      <c r="M222" s="17">
        <f t="shared" ca="1" si="36"/>
        <v>1100</v>
      </c>
      <c r="N222" s="17">
        <f t="shared" si="37"/>
        <v>-20</v>
      </c>
      <c r="O222" s="17">
        <f t="shared" si="38"/>
        <v>-810</v>
      </c>
      <c r="P222" s="18">
        <f t="shared" ca="1" si="39"/>
        <v>-25</v>
      </c>
      <c r="Q222" s="18">
        <f t="shared" ca="1" si="40"/>
        <v>75</v>
      </c>
      <c r="R222" s="19">
        <f t="shared" ca="1" si="41"/>
        <v>320</v>
      </c>
      <c r="S222" s="15">
        <f t="shared" ca="1" si="42"/>
        <v>0</v>
      </c>
    </row>
    <row r="223" spans="9:19">
      <c r="I223" s="15">
        <f t="shared" si="43"/>
        <v>219</v>
      </c>
      <c r="J223" s="16">
        <f t="shared" ca="1" si="33"/>
        <v>187</v>
      </c>
      <c r="K223" s="16">
        <f t="shared" ca="1" si="34"/>
        <v>187</v>
      </c>
      <c r="L223" s="16">
        <f t="shared" ca="1" si="35"/>
        <v>83</v>
      </c>
      <c r="M223" s="17">
        <f t="shared" ca="1" si="36"/>
        <v>935</v>
      </c>
      <c r="N223" s="17">
        <f t="shared" si="37"/>
        <v>-20</v>
      </c>
      <c r="O223" s="17">
        <f t="shared" si="38"/>
        <v>-810</v>
      </c>
      <c r="P223" s="18">
        <f t="shared" ca="1" si="39"/>
        <v>-41.5</v>
      </c>
      <c r="Q223" s="18">
        <f t="shared" ca="1" si="40"/>
        <v>124.5</v>
      </c>
      <c r="R223" s="19">
        <f t="shared" ca="1" si="41"/>
        <v>188</v>
      </c>
      <c r="S223" s="15">
        <f t="shared" ca="1" si="42"/>
        <v>0</v>
      </c>
    </row>
    <row r="224" spans="9:19">
      <c r="I224" s="15">
        <f t="shared" si="43"/>
        <v>220</v>
      </c>
      <c r="J224" s="16">
        <f t="shared" ca="1" si="33"/>
        <v>382</v>
      </c>
      <c r="K224" s="16">
        <f t="shared" ca="1" si="34"/>
        <v>270</v>
      </c>
      <c r="L224" s="16">
        <f t="shared" ca="1" si="35"/>
        <v>0</v>
      </c>
      <c r="M224" s="17">
        <f t="shared" ca="1" si="36"/>
        <v>1350</v>
      </c>
      <c r="N224" s="17">
        <f t="shared" si="37"/>
        <v>-20</v>
      </c>
      <c r="O224" s="17">
        <f t="shared" si="38"/>
        <v>-810</v>
      </c>
      <c r="P224" s="18">
        <f t="shared" ca="1" si="39"/>
        <v>0</v>
      </c>
      <c r="Q224" s="18">
        <f t="shared" ca="1" si="40"/>
        <v>0</v>
      </c>
      <c r="R224" s="19">
        <f t="shared" ca="1" si="41"/>
        <v>520</v>
      </c>
      <c r="S224" s="15">
        <f t="shared" ca="1" si="42"/>
        <v>0</v>
      </c>
    </row>
    <row r="225" spans="9:19">
      <c r="I225" s="15">
        <f t="shared" si="43"/>
        <v>221</v>
      </c>
      <c r="J225" s="16">
        <f t="shared" ca="1" si="33"/>
        <v>389</v>
      </c>
      <c r="K225" s="16">
        <f t="shared" ca="1" si="34"/>
        <v>270</v>
      </c>
      <c r="L225" s="16">
        <f t="shared" ca="1" si="35"/>
        <v>0</v>
      </c>
      <c r="M225" s="17">
        <f t="shared" ca="1" si="36"/>
        <v>1350</v>
      </c>
      <c r="N225" s="17">
        <f t="shared" si="37"/>
        <v>-20</v>
      </c>
      <c r="O225" s="17">
        <f t="shared" si="38"/>
        <v>-810</v>
      </c>
      <c r="P225" s="18">
        <f t="shared" ca="1" si="39"/>
        <v>0</v>
      </c>
      <c r="Q225" s="18">
        <f t="shared" ca="1" si="40"/>
        <v>0</v>
      </c>
      <c r="R225" s="19">
        <f t="shared" ca="1" si="41"/>
        <v>520</v>
      </c>
      <c r="S225" s="15">
        <f t="shared" ca="1" si="42"/>
        <v>0</v>
      </c>
    </row>
    <row r="226" spans="9:19">
      <c r="I226" s="15">
        <f t="shared" si="43"/>
        <v>222</v>
      </c>
      <c r="J226" s="16">
        <f t="shared" ca="1" si="33"/>
        <v>132</v>
      </c>
      <c r="K226" s="16">
        <f t="shared" ca="1" si="34"/>
        <v>132</v>
      </c>
      <c r="L226" s="16">
        <f t="shared" ca="1" si="35"/>
        <v>138</v>
      </c>
      <c r="M226" s="17">
        <f t="shared" ca="1" si="36"/>
        <v>660</v>
      </c>
      <c r="N226" s="17">
        <f t="shared" si="37"/>
        <v>-20</v>
      </c>
      <c r="O226" s="17">
        <f t="shared" si="38"/>
        <v>-810</v>
      </c>
      <c r="P226" s="18">
        <f t="shared" ca="1" si="39"/>
        <v>-69</v>
      </c>
      <c r="Q226" s="18">
        <f t="shared" ca="1" si="40"/>
        <v>207</v>
      </c>
      <c r="R226" s="19">
        <f t="shared" ca="1" si="41"/>
        <v>-32</v>
      </c>
      <c r="S226" s="15">
        <f t="shared" ca="1" si="42"/>
        <v>1</v>
      </c>
    </row>
    <row r="227" spans="9:19">
      <c r="I227" s="15">
        <f t="shared" si="43"/>
        <v>223</v>
      </c>
      <c r="J227" s="16">
        <f t="shared" ca="1" si="33"/>
        <v>345</v>
      </c>
      <c r="K227" s="16">
        <f t="shared" ca="1" si="34"/>
        <v>270</v>
      </c>
      <c r="L227" s="16">
        <f t="shared" ca="1" si="35"/>
        <v>0</v>
      </c>
      <c r="M227" s="17">
        <f t="shared" ca="1" si="36"/>
        <v>1350</v>
      </c>
      <c r="N227" s="17">
        <f t="shared" si="37"/>
        <v>-20</v>
      </c>
      <c r="O227" s="17">
        <f t="shared" si="38"/>
        <v>-810</v>
      </c>
      <c r="P227" s="18">
        <f t="shared" ca="1" si="39"/>
        <v>0</v>
      </c>
      <c r="Q227" s="18">
        <f t="shared" ca="1" si="40"/>
        <v>0</v>
      </c>
      <c r="R227" s="19">
        <f t="shared" ca="1" si="41"/>
        <v>520</v>
      </c>
      <c r="S227" s="15">
        <f t="shared" ca="1" si="42"/>
        <v>0</v>
      </c>
    </row>
    <row r="228" spans="9:19">
      <c r="I228" s="15">
        <f t="shared" si="43"/>
        <v>224</v>
      </c>
      <c r="J228" s="16">
        <f t="shared" ca="1" si="33"/>
        <v>124</v>
      </c>
      <c r="K228" s="16">
        <f t="shared" ca="1" si="34"/>
        <v>124</v>
      </c>
      <c r="L228" s="16">
        <f t="shared" ca="1" si="35"/>
        <v>146</v>
      </c>
      <c r="M228" s="17">
        <f t="shared" ca="1" si="36"/>
        <v>620</v>
      </c>
      <c r="N228" s="17">
        <f t="shared" si="37"/>
        <v>-20</v>
      </c>
      <c r="O228" s="17">
        <f t="shared" si="38"/>
        <v>-810</v>
      </c>
      <c r="P228" s="18">
        <f t="shared" ca="1" si="39"/>
        <v>-73</v>
      </c>
      <c r="Q228" s="18">
        <f t="shared" ca="1" si="40"/>
        <v>219</v>
      </c>
      <c r="R228" s="19">
        <f t="shared" ca="1" si="41"/>
        <v>-64</v>
      </c>
      <c r="S228" s="15">
        <f t="shared" ca="1" si="42"/>
        <v>1</v>
      </c>
    </row>
    <row r="229" spans="9:19">
      <c r="I229" s="15">
        <f t="shared" si="43"/>
        <v>225</v>
      </c>
      <c r="J229" s="16">
        <f t="shared" ca="1" si="33"/>
        <v>298</v>
      </c>
      <c r="K229" s="16">
        <f t="shared" ca="1" si="34"/>
        <v>270</v>
      </c>
      <c r="L229" s="16">
        <f t="shared" ca="1" si="35"/>
        <v>0</v>
      </c>
      <c r="M229" s="17">
        <f t="shared" ca="1" si="36"/>
        <v>1350</v>
      </c>
      <c r="N229" s="17">
        <f t="shared" si="37"/>
        <v>-20</v>
      </c>
      <c r="O229" s="17">
        <f t="shared" si="38"/>
        <v>-810</v>
      </c>
      <c r="P229" s="18">
        <f t="shared" ca="1" si="39"/>
        <v>0</v>
      </c>
      <c r="Q229" s="18">
        <f t="shared" ca="1" si="40"/>
        <v>0</v>
      </c>
      <c r="R229" s="19">
        <f t="shared" ca="1" si="41"/>
        <v>520</v>
      </c>
      <c r="S229" s="15">
        <f t="shared" ca="1" si="42"/>
        <v>0</v>
      </c>
    </row>
    <row r="230" spans="9:19">
      <c r="I230" s="15">
        <f t="shared" si="43"/>
        <v>226</v>
      </c>
      <c r="J230" s="16">
        <f t="shared" ca="1" si="33"/>
        <v>142</v>
      </c>
      <c r="K230" s="16">
        <f t="shared" ca="1" si="34"/>
        <v>142</v>
      </c>
      <c r="L230" s="16">
        <f t="shared" ca="1" si="35"/>
        <v>128</v>
      </c>
      <c r="M230" s="17">
        <f t="shared" ca="1" si="36"/>
        <v>710</v>
      </c>
      <c r="N230" s="17">
        <f t="shared" si="37"/>
        <v>-20</v>
      </c>
      <c r="O230" s="17">
        <f t="shared" si="38"/>
        <v>-810</v>
      </c>
      <c r="P230" s="18">
        <f t="shared" ca="1" si="39"/>
        <v>-64</v>
      </c>
      <c r="Q230" s="18">
        <f t="shared" ca="1" si="40"/>
        <v>192</v>
      </c>
      <c r="R230" s="19">
        <f t="shared" ca="1" si="41"/>
        <v>8</v>
      </c>
      <c r="S230" s="15">
        <f t="shared" ca="1" si="42"/>
        <v>0</v>
      </c>
    </row>
    <row r="231" spans="9:19">
      <c r="I231" s="15">
        <f t="shared" si="43"/>
        <v>227</v>
      </c>
      <c r="J231" s="16">
        <f t="shared" ca="1" si="33"/>
        <v>302</v>
      </c>
      <c r="K231" s="16">
        <f t="shared" ca="1" si="34"/>
        <v>270</v>
      </c>
      <c r="L231" s="16">
        <f t="shared" ca="1" si="35"/>
        <v>0</v>
      </c>
      <c r="M231" s="17">
        <f t="shared" ca="1" si="36"/>
        <v>1350</v>
      </c>
      <c r="N231" s="17">
        <f t="shared" si="37"/>
        <v>-20</v>
      </c>
      <c r="O231" s="17">
        <f t="shared" si="38"/>
        <v>-810</v>
      </c>
      <c r="P231" s="18">
        <f t="shared" ca="1" si="39"/>
        <v>0</v>
      </c>
      <c r="Q231" s="18">
        <f t="shared" ca="1" si="40"/>
        <v>0</v>
      </c>
      <c r="R231" s="19">
        <f t="shared" ca="1" si="41"/>
        <v>520</v>
      </c>
      <c r="S231" s="15">
        <f t="shared" ca="1" si="42"/>
        <v>0</v>
      </c>
    </row>
    <row r="232" spans="9:19">
      <c r="I232" s="15">
        <f t="shared" si="43"/>
        <v>228</v>
      </c>
      <c r="J232" s="16">
        <f t="shared" ca="1" si="33"/>
        <v>155</v>
      </c>
      <c r="K232" s="16">
        <f t="shared" ca="1" si="34"/>
        <v>155</v>
      </c>
      <c r="L232" s="16">
        <f t="shared" ca="1" si="35"/>
        <v>115</v>
      </c>
      <c r="M232" s="17">
        <f t="shared" ca="1" si="36"/>
        <v>775</v>
      </c>
      <c r="N232" s="17">
        <f t="shared" si="37"/>
        <v>-20</v>
      </c>
      <c r="O232" s="17">
        <f t="shared" si="38"/>
        <v>-810</v>
      </c>
      <c r="P232" s="18">
        <f t="shared" ca="1" si="39"/>
        <v>-57.5</v>
      </c>
      <c r="Q232" s="18">
        <f t="shared" ca="1" si="40"/>
        <v>172.5</v>
      </c>
      <c r="R232" s="19">
        <f t="shared" ca="1" si="41"/>
        <v>60</v>
      </c>
      <c r="S232" s="15">
        <f t="shared" ca="1" si="42"/>
        <v>0</v>
      </c>
    </row>
    <row r="233" spans="9:19">
      <c r="I233" s="15">
        <f t="shared" si="43"/>
        <v>229</v>
      </c>
      <c r="J233" s="16">
        <f t="shared" ca="1" si="33"/>
        <v>316</v>
      </c>
      <c r="K233" s="16">
        <f t="shared" ca="1" si="34"/>
        <v>270</v>
      </c>
      <c r="L233" s="16">
        <f t="shared" ca="1" si="35"/>
        <v>0</v>
      </c>
      <c r="M233" s="17">
        <f t="shared" ca="1" si="36"/>
        <v>1350</v>
      </c>
      <c r="N233" s="17">
        <f t="shared" si="37"/>
        <v>-20</v>
      </c>
      <c r="O233" s="17">
        <f t="shared" si="38"/>
        <v>-810</v>
      </c>
      <c r="P233" s="18">
        <f t="shared" ca="1" si="39"/>
        <v>0</v>
      </c>
      <c r="Q233" s="18">
        <f t="shared" ca="1" si="40"/>
        <v>0</v>
      </c>
      <c r="R233" s="19">
        <f t="shared" ca="1" si="41"/>
        <v>520</v>
      </c>
      <c r="S233" s="15">
        <f t="shared" ca="1" si="42"/>
        <v>0</v>
      </c>
    </row>
    <row r="234" spans="9:19">
      <c r="I234" s="15">
        <f t="shared" si="43"/>
        <v>230</v>
      </c>
      <c r="J234" s="16">
        <f t="shared" ca="1" si="33"/>
        <v>328</v>
      </c>
      <c r="K234" s="16">
        <f t="shared" ca="1" si="34"/>
        <v>270</v>
      </c>
      <c r="L234" s="16">
        <f t="shared" ca="1" si="35"/>
        <v>0</v>
      </c>
      <c r="M234" s="17">
        <f t="shared" ca="1" si="36"/>
        <v>1350</v>
      </c>
      <c r="N234" s="17">
        <f t="shared" si="37"/>
        <v>-20</v>
      </c>
      <c r="O234" s="17">
        <f t="shared" si="38"/>
        <v>-810</v>
      </c>
      <c r="P234" s="18">
        <f t="shared" ca="1" si="39"/>
        <v>0</v>
      </c>
      <c r="Q234" s="18">
        <f t="shared" ca="1" si="40"/>
        <v>0</v>
      </c>
      <c r="R234" s="19">
        <f t="shared" ca="1" si="41"/>
        <v>520</v>
      </c>
      <c r="S234" s="15">
        <f t="shared" ca="1" si="42"/>
        <v>0</v>
      </c>
    </row>
    <row r="235" spans="9:19">
      <c r="I235" s="15">
        <f t="shared" si="43"/>
        <v>231</v>
      </c>
      <c r="J235" s="16">
        <f t="shared" ca="1" si="33"/>
        <v>369</v>
      </c>
      <c r="K235" s="16">
        <f t="shared" ca="1" si="34"/>
        <v>270</v>
      </c>
      <c r="L235" s="16">
        <f t="shared" ca="1" si="35"/>
        <v>0</v>
      </c>
      <c r="M235" s="17">
        <f t="shared" ca="1" si="36"/>
        <v>1350</v>
      </c>
      <c r="N235" s="17">
        <f t="shared" si="37"/>
        <v>-20</v>
      </c>
      <c r="O235" s="17">
        <f t="shared" si="38"/>
        <v>-810</v>
      </c>
      <c r="P235" s="18">
        <f t="shared" ca="1" si="39"/>
        <v>0</v>
      </c>
      <c r="Q235" s="18">
        <f t="shared" ca="1" si="40"/>
        <v>0</v>
      </c>
      <c r="R235" s="19">
        <f t="shared" ca="1" si="41"/>
        <v>520</v>
      </c>
      <c r="S235" s="15">
        <f t="shared" ca="1" si="42"/>
        <v>0</v>
      </c>
    </row>
    <row r="236" spans="9:19">
      <c r="I236" s="15">
        <f t="shared" si="43"/>
        <v>232</v>
      </c>
      <c r="J236" s="16">
        <f t="shared" ca="1" si="33"/>
        <v>196</v>
      </c>
      <c r="K236" s="16">
        <f t="shared" ca="1" si="34"/>
        <v>196</v>
      </c>
      <c r="L236" s="16">
        <f t="shared" ca="1" si="35"/>
        <v>74</v>
      </c>
      <c r="M236" s="17">
        <f t="shared" ca="1" si="36"/>
        <v>980</v>
      </c>
      <c r="N236" s="17">
        <f t="shared" si="37"/>
        <v>-20</v>
      </c>
      <c r="O236" s="17">
        <f t="shared" si="38"/>
        <v>-810</v>
      </c>
      <c r="P236" s="18">
        <f t="shared" ca="1" si="39"/>
        <v>-37</v>
      </c>
      <c r="Q236" s="18">
        <f t="shared" ca="1" si="40"/>
        <v>111</v>
      </c>
      <c r="R236" s="19">
        <f t="shared" ca="1" si="41"/>
        <v>224</v>
      </c>
      <c r="S236" s="15">
        <f t="shared" ca="1" si="42"/>
        <v>0</v>
      </c>
    </row>
    <row r="237" spans="9:19">
      <c r="I237" s="15">
        <f t="shared" si="43"/>
        <v>233</v>
      </c>
      <c r="J237" s="16">
        <f t="shared" ca="1" si="33"/>
        <v>289</v>
      </c>
      <c r="K237" s="16">
        <f t="shared" ca="1" si="34"/>
        <v>270</v>
      </c>
      <c r="L237" s="16">
        <f t="shared" ca="1" si="35"/>
        <v>0</v>
      </c>
      <c r="M237" s="17">
        <f t="shared" ca="1" si="36"/>
        <v>1350</v>
      </c>
      <c r="N237" s="17">
        <f t="shared" si="37"/>
        <v>-20</v>
      </c>
      <c r="O237" s="17">
        <f t="shared" si="38"/>
        <v>-810</v>
      </c>
      <c r="P237" s="18">
        <f t="shared" ca="1" si="39"/>
        <v>0</v>
      </c>
      <c r="Q237" s="18">
        <f t="shared" ca="1" si="40"/>
        <v>0</v>
      </c>
      <c r="R237" s="19">
        <f t="shared" ca="1" si="41"/>
        <v>520</v>
      </c>
      <c r="S237" s="15">
        <f t="shared" ca="1" si="42"/>
        <v>0</v>
      </c>
    </row>
    <row r="238" spans="9:19">
      <c r="I238" s="15">
        <f t="shared" si="43"/>
        <v>234</v>
      </c>
      <c r="J238" s="16">
        <f t="shared" ca="1" si="33"/>
        <v>400</v>
      </c>
      <c r="K238" s="16">
        <f t="shared" ca="1" si="34"/>
        <v>270</v>
      </c>
      <c r="L238" s="16">
        <f t="shared" ca="1" si="35"/>
        <v>0</v>
      </c>
      <c r="M238" s="17">
        <f t="shared" ca="1" si="36"/>
        <v>1350</v>
      </c>
      <c r="N238" s="17">
        <f t="shared" si="37"/>
        <v>-20</v>
      </c>
      <c r="O238" s="17">
        <f t="shared" si="38"/>
        <v>-810</v>
      </c>
      <c r="P238" s="18">
        <f t="shared" ca="1" si="39"/>
        <v>0</v>
      </c>
      <c r="Q238" s="18">
        <f t="shared" ca="1" si="40"/>
        <v>0</v>
      </c>
      <c r="R238" s="19">
        <f t="shared" ca="1" si="41"/>
        <v>520</v>
      </c>
      <c r="S238" s="15">
        <f t="shared" ca="1" si="42"/>
        <v>0</v>
      </c>
    </row>
    <row r="239" spans="9:19">
      <c r="I239" s="15">
        <f t="shared" si="43"/>
        <v>235</v>
      </c>
      <c r="J239" s="16">
        <f t="shared" ca="1" si="33"/>
        <v>295</v>
      </c>
      <c r="K239" s="16">
        <f t="shared" ca="1" si="34"/>
        <v>270</v>
      </c>
      <c r="L239" s="16">
        <f t="shared" ca="1" si="35"/>
        <v>0</v>
      </c>
      <c r="M239" s="17">
        <f t="shared" ca="1" si="36"/>
        <v>1350</v>
      </c>
      <c r="N239" s="17">
        <f t="shared" si="37"/>
        <v>-20</v>
      </c>
      <c r="O239" s="17">
        <f t="shared" si="38"/>
        <v>-810</v>
      </c>
      <c r="P239" s="18">
        <f t="shared" ca="1" si="39"/>
        <v>0</v>
      </c>
      <c r="Q239" s="18">
        <f t="shared" ca="1" si="40"/>
        <v>0</v>
      </c>
      <c r="R239" s="19">
        <f t="shared" ca="1" si="41"/>
        <v>520</v>
      </c>
      <c r="S239" s="15">
        <f t="shared" ca="1" si="42"/>
        <v>0</v>
      </c>
    </row>
    <row r="240" spans="9:19">
      <c r="I240" s="15">
        <f t="shared" si="43"/>
        <v>236</v>
      </c>
      <c r="J240" s="16">
        <f t="shared" ca="1" si="33"/>
        <v>246</v>
      </c>
      <c r="K240" s="16">
        <f t="shared" ca="1" si="34"/>
        <v>246</v>
      </c>
      <c r="L240" s="16">
        <f t="shared" ca="1" si="35"/>
        <v>24</v>
      </c>
      <c r="M240" s="17">
        <f t="shared" ca="1" si="36"/>
        <v>1230</v>
      </c>
      <c r="N240" s="17">
        <f t="shared" si="37"/>
        <v>-20</v>
      </c>
      <c r="O240" s="17">
        <f t="shared" si="38"/>
        <v>-810</v>
      </c>
      <c r="P240" s="18">
        <f t="shared" ca="1" si="39"/>
        <v>-12</v>
      </c>
      <c r="Q240" s="18">
        <f t="shared" ca="1" si="40"/>
        <v>36</v>
      </c>
      <c r="R240" s="19">
        <f t="shared" ca="1" si="41"/>
        <v>424</v>
      </c>
      <c r="S240" s="15">
        <f t="shared" ca="1" si="42"/>
        <v>0</v>
      </c>
    </row>
    <row r="241" spans="9:19">
      <c r="I241" s="15">
        <f t="shared" si="43"/>
        <v>237</v>
      </c>
      <c r="J241" s="16">
        <f t="shared" ca="1" si="33"/>
        <v>161</v>
      </c>
      <c r="K241" s="16">
        <f t="shared" ca="1" si="34"/>
        <v>161</v>
      </c>
      <c r="L241" s="16">
        <f t="shared" ca="1" si="35"/>
        <v>109</v>
      </c>
      <c r="M241" s="17">
        <f t="shared" ca="1" si="36"/>
        <v>805</v>
      </c>
      <c r="N241" s="17">
        <f t="shared" si="37"/>
        <v>-20</v>
      </c>
      <c r="O241" s="17">
        <f t="shared" si="38"/>
        <v>-810</v>
      </c>
      <c r="P241" s="18">
        <f t="shared" ca="1" si="39"/>
        <v>-54.5</v>
      </c>
      <c r="Q241" s="18">
        <f t="shared" ca="1" si="40"/>
        <v>163.5</v>
      </c>
      <c r="R241" s="19">
        <f t="shared" ca="1" si="41"/>
        <v>84</v>
      </c>
      <c r="S241" s="15">
        <f t="shared" ca="1" si="42"/>
        <v>0</v>
      </c>
    </row>
    <row r="242" spans="9:19">
      <c r="I242" s="15">
        <f t="shared" si="43"/>
        <v>238</v>
      </c>
      <c r="J242" s="16">
        <f t="shared" ca="1" si="33"/>
        <v>358</v>
      </c>
      <c r="K242" s="16">
        <f t="shared" ca="1" si="34"/>
        <v>270</v>
      </c>
      <c r="L242" s="16">
        <f t="shared" ca="1" si="35"/>
        <v>0</v>
      </c>
      <c r="M242" s="17">
        <f t="shared" ca="1" si="36"/>
        <v>1350</v>
      </c>
      <c r="N242" s="17">
        <f t="shared" si="37"/>
        <v>-20</v>
      </c>
      <c r="O242" s="17">
        <f t="shared" si="38"/>
        <v>-810</v>
      </c>
      <c r="P242" s="18">
        <f t="shared" ca="1" si="39"/>
        <v>0</v>
      </c>
      <c r="Q242" s="18">
        <f t="shared" ca="1" si="40"/>
        <v>0</v>
      </c>
      <c r="R242" s="19">
        <f t="shared" ca="1" si="41"/>
        <v>520</v>
      </c>
      <c r="S242" s="15">
        <f t="shared" ca="1" si="42"/>
        <v>0</v>
      </c>
    </row>
    <row r="243" spans="9:19">
      <c r="I243" s="15">
        <f t="shared" si="43"/>
        <v>239</v>
      </c>
      <c r="J243" s="16">
        <f t="shared" ca="1" si="33"/>
        <v>253</v>
      </c>
      <c r="K243" s="16">
        <f t="shared" ca="1" si="34"/>
        <v>253</v>
      </c>
      <c r="L243" s="16">
        <f t="shared" ca="1" si="35"/>
        <v>17</v>
      </c>
      <c r="M243" s="17">
        <f t="shared" ca="1" si="36"/>
        <v>1265</v>
      </c>
      <c r="N243" s="17">
        <f t="shared" si="37"/>
        <v>-20</v>
      </c>
      <c r="O243" s="17">
        <f t="shared" si="38"/>
        <v>-810</v>
      </c>
      <c r="P243" s="18">
        <f t="shared" ca="1" si="39"/>
        <v>-8.5</v>
      </c>
      <c r="Q243" s="18">
        <f t="shared" ca="1" si="40"/>
        <v>25.5</v>
      </c>
      <c r="R243" s="19">
        <f t="shared" ca="1" si="41"/>
        <v>452</v>
      </c>
      <c r="S243" s="15">
        <f t="shared" ca="1" si="42"/>
        <v>0</v>
      </c>
    </row>
    <row r="244" spans="9:19">
      <c r="I244" s="15">
        <f t="shared" si="43"/>
        <v>240</v>
      </c>
      <c r="J244" s="16">
        <f t="shared" ca="1" si="33"/>
        <v>163</v>
      </c>
      <c r="K244" s="16">
        <f t="shared" ca="1" si="34"/>
        <v>163</v>
      </c>
      <c r="L244" s="16">
        <f t="shared" ca="1" si="35"/>
        <v>107</v>
      </c>
      <c r="M244" s="17">
        <f t="shared" ca="1" si="36"/>
        <v>815</v>
      </c>
      <c r="N244" s="17">
        <f t="shared" si="37"/>
        <v>-20</v>
      </c>
      <c r="O244" s="17">
        <f t="shared" si="38"/>
        <v>-810</v>
      </c>
      <c r="P244" s="18">
        <f t="shared" ca="1" si="39"/>
        <v>-53.5</v>
      </c>
      <c r="Q244" s="18">
        <f t="shared" ca="1" si="40"/>
        <v>160.5</v>
      </c>
      <c r="R244" s="19">
        <f t="shared" ca="1" si="41"/>
        <v>92</v>
      </c>
      <c r="S244" s="15">
        <f t="shared" ca="1" si="42"/>
        <v>0</v>
      </c>
    </row>
    <row r="245" spans="9:19">
      <c r="I245" s="15">
        <f t="shared" si="43"/>
        <v>241</v>
      </c>
      <c r="J245" s="16">
        <f t="shared" ca="1" si="33"/>
        <v>155</v>
      </c>
      <c r="K245" s="16">
        <f t="shared" ca="1" si="34"/>
        <v>155</v>
      </c>
      <c r="L245" s="16">
        <f t="shared" ca="1" si="35"/>
        <v>115</v>
      </c>
      <c r="M245" s="17">
        <f t="shared" ca="1" si="36"/>
        <v>775</v>
      </c>
      <c r="N245" s="17">
        <f t="shared" si="37"/>
        <v>-20</v>
      </c>
      <c r="O245" s="17">
        <f t="shared" si="38"/>
        <v>-810</v>
      </c>
      <c r="P245" s="18">
        <f t="shared" ca="1" si="39"/>
        <v>-57.5</v>
      </c>
      <c r="Q245" s="18">
        <f t="shared" ca="1" si="40"/>
        <v>172.5</v>
      </c>
      <c r="R245" s="19">
        <f t="shared" ca="1" si="41"/>
        <v>60</v>
      </c>
      <c r="S245" s="15">
        <f t="shared" ca="1" si="42"/>
        <v>0</v>
      </c>
    </row>
    <row r="246" spans="9:19">
      <c r="I246" s="15">
        <f t="shared" si="43"/>
        <v>242</v>
      </c>
      <c r="J246" s="16">
        <f t="shared" ca="1" si="33"/>
        <v>319</v>
      </c>
      <c r="K246" s="16">
        <f t="shared" ca="1" si="34"/>
        <v>270</v>
      </c>
      <c r="L246" s="16">
        <f t="shared" ca="1" si="35"/>
        <v>0</v>
      </c>
      <c r="M246" s="17">
        <f t="shared" ca="1" si="36"/>
        <v>1350</v>
      </c>
      <c r="N246" s="17">
        <f t="shared" si="37"/>
        <v>-20</v>
      </c>
      <c r="O246" s="17">
        <f t="shared" si="38"/>
        <v>-810</v>
      </c>
      <c r="P246" s="18">
        <f t="shared" ca="1" si="39"/>
        <v>0</v>
      </c>
      <c r="Q246" s="18">
        <f t="shared" ca="1" si="40"/>
        <v>0</v>
      </c>
      <c r="R246" s="19">
        <f t="shared" ca="1" si="41"/>
        <v>520</v>
      </c>
      <c r="S246" s="15">
        <f t="shared" ca="1" si="42"/>
        <v>0</v>
      </c>
    </row>
    <row r="247" spans="9:19">
      <c r="I247" s="15">
        <f t="shared" si="43"/>
        <v>243</v>
      </c>
      <c r="J247" s="16">
        <f t="shared" ca="1" si="33"/>
        <v>337</v>
      </c>
      <c r="K247" s="16">
        <f t="shared" ca="1" si="34"/>
        <v>270</v>
      </c>
      <c r="L247" s="16">
        <f t="shared" ca="1" si="35"/>
        <v>0</v>
      </c>
      <c r="M247" s="17">
        <f t="shared" ca="1" si="36"/>
        <v>1350</v>
      </c>
      <c r="N247" s="17">
        <f t="shared" si="37"/>
        <v>-20</v>
      </c>
      <c r="O247" s="17">
        <f t="shared" si="38"/>
        <v>-810</v>
      </c>
      <c r="P247" s="18">
        <f t="shared" ca="1" si="39"/>
        <v>0</v>
      </c>
      <c r="Q247" s="18">
        <f t="shared" ca="1" si="40"/>
        <v>0</v>
      </c>
      <c r="R247" s="19">
        <f t="shared" ca="1" si="41"/>
        <v>520</v>
      </c>
      <c r="S247" s="15">
        <f t="shared" ca="1" si="42"/>
        <v>0</v>
      </c>
    </row>
    <row r="248" spans="9:19">
      <c r="I248" s="15">
        <f t="shared" si="43"/>
        <v>244</v>
      </c>
      <c r="J248" s="16">
        <f t="shared" ca="1" si="33"/>
        <v>131</v>
      </c>
      <c r="K248" s="16">
        <f t="shared" ca="1" si="34"/>
        <v>131</v>
      </c>
      <c r="L248" s="16">
        <f t="shared" ca="1" si="35"/>
        <v>139</v>
      </c>
      <c r="M248" s="17">
        <f t="shared" ca="1" si="36"/>
        <v>655</v>
      </c>
      <c r="N248" s="17">
        <f t="shared" si="37"/>
        <v>-20</v>
      </c>
      <c r="O248" s="17">
        <f t="shared" si="38"/>
        <v>-810</v>
      </c>
      <c r="P248" s="18">
        <f t="shared" ca="1" si="39"/>
        <v>-69.5</v>
      </c>
      <c r="Q248" s="18">
        <f t="shared" ca="1" si="40"/>
        <v>208.5</v>
      </c>
      <c r="R248" s="19">
        <f t="shared" ca="1" si="41"/>
        <v>-36</v>
      </c>
      <c r="S248" s="15">
        <f t="shared" ca="1" si="42"/>
        <v>1</v>
      </c>
    </row>
    <row r="249" spans="9:19">
      <c r="I249" s="15">
        <f t="shared" si="43"/>
        <v>245</v>
      </c>
      <c r="J249" s="16">
        <f t="shared" ca="1" si="33"/>
        <v>226</v>
      </c>
      <c r="K249" s="16">
        <f t="shared" ca="1" si="34"/>
        <v>226</v>
      </c>
      <c r="L249" s="16">
        <f t="shared" ca="1" si="35"/>
        <v>44</v>
      </c>
      <c r="M249" s="17">
        <f t="shared" ca="1" si="36"/>
        <v>1130</v>
      </c>
      <c r="N249" s="17">
        <f t="shared" si="37"/>
        <v>-20</v>
      </c>
      <c r="O249" s="17">
        <f t="shared" si="38"/>
        <v>-810</v>
      </c>
      <c r="P249" s="18">
        <f t="shared" ca="1" si="39"/>
        <v>-22</v>
      </c>
      <c r="Q249" s="18">
        <f t="shared" ca="1" si="40"/>
        <v>66</v>
      </c>
      <c r="R249" s="19">
        <f t="shared" ca="1" si="41"/>
        <v>344</v>
      </c>
      <c r="S249" s="15">
        <f t="shared" ca="1" si="42"/>
        <v>0</v>
      </c>
    </row>
    <row r="250" spans="9:19">
      <c r="I250" s="15">
        <f t="shared" si="43"/>
        <v>246</v>
      </c>
      <c r="J250" s="16">
        <f t="shared" ca="1" si="33"/>
        <v>274</v>
      </c>
      <c r="K250" s="16">
        <f t="shared" ca="1" si="34"/>
        <v>270</v>
      </c>
      <c r="L250" s="16">
        <f t="shared" ca="1" si="35"/>
        <v>0</v>
      </c>
      <c r="M250" s="17">
        <f t="shared" ca="1" si="36"/>
        <v>1350</v>
      </c>
      <c r="N250" s="17">
        <f t="shared" si="37"/>
        <v>-20</v>
      </c>
      <c r="O250" s="17">
        <f t="shared" si="38"/>
        <v>-810</v>
      </c>
      <c r="P250" s="18">
        <f t="shared" ca="1" si="39"/>
        <v>0</v>
      </c>
      <c r="Q250" s="18">
        <f t="shared" ca="1" si="40"/>
        <v>0</v>
      </c>
      <c r="R250" s="19">
        <f t="shared" ca="1" si="41"/>
        <v>520</v>
      </c>
      <c r="S250" s="15">
        <f t="shared" ca="1" si="42"/>
        <v>0</v>
      </c>
    </row>
    <row r="251" spans="9:19">
      <c r="I251" s="15">
        <f t="shared" si="43"/>
        <v>247</v>
      </c>
      <c r="J251" s="16">
        <f t="shared" ca="1" si="33"/>
        <v>364</v>
      </c>
      <c r="K251" s="16">
        <f t="shared" ca="1" si="34"/>
        <v>270</v>
      </c>
      <c r="L251" s="16">
        <f t="shared" ca="1" si="35"/>
        <v>0</v>
      </c>
      <c r="M251" s="17">
        <f t="shared" ca="1" si="36"/>
        <v>1350</v>
      </c>
      <c r="N251" s="17">
        <f t="shared" si="37"/>
        <v>-20</v>
      </c>
      <c r="O251" s="17">
        <f t="shared" si="38"/>
        <v>-810</v>
      </c>
      <c r="P251" s="18">
        <f t="shared" ca="1" si="39"/>
        <v>0</v>
      </c>
      <c r="Q251" s="18">
        <f t="shared" ca="1" si="40"/>
        <v>0</v>
      </c>
      <c r="R251" s="19">
        <f t="shared" ca="1" si="41"/>
        <v>520</v>
      </c>
      <c r="S251" s="15">
        <f t="shared" ca="1" si="42"/>
        <v>0</v>
      </c>
    </row>
    <row r="252" spans="9:19">
      <c r="I252" s="15">
        <f t="shared" si="43"/>
        <v>248</v>
      </c>
      <c r="J252" s="16">
        <f t="shared" ca="1" si="33"/>
        <v>380</v>
      </c>
      <c r="K252" s="16">
        <f t="shared" ca="1" si="34"/>
        <v>270</v>
      </c>
      <c r="L252" s="16">
        <f t="shared" ca="1" si="35"/>
        <v>0</v>
      </c>
      <c r="M252" s="17">
        <f t="shared" ca="1" si="36"/>
        <v>1350</v>
      </c>
      <c r="N252" s="17">
        <f t="shared" si="37"/>
        <v>-20</v>
      </c>
      <c r="O252" s="17">
        <f t="shared" si="38"/>
        <v>-810</v>
      </c>
      <c r="P252" s="18">
        <f t="shared" ca="1" si="39"/>
        <v>0</v>
      </c>
      <c r="Q252" s="18">
        <f t="shared" ca="1" si="40"/>
        <v>0</v>
      </c>
      <c r="R252" s="19">
        <f t="shared" ca="1" si="41"/>
        <v>520</v>
      </c>
      <c r="S252" s="15">
        <f t="shared" ca="1" si="42"/>
        <v>0</v>
      </c>
    </row>
    <row r="253" spans="9:19">
      <c r="I253" s="15">
        <f t="shared" si="43"/>
        <v>249</v>
      </c>
      <c r="J253" s="16">
        <f t="shared" ca="1" si="33"/>
        <v>269</v>
      </c>
      <c r="K253" s="16">
        <f t="shared" ca="1" si="34"/>
        <v>269</v>
      </c>
      <c r="L253" s="16">
        <f t="shared" ca="1" si="35"/>
        <v>1</v>
      </c>
      <c r="M253" s="17">
        <f t="shared" ca="1" si="36"/>
        <v>1345</v>
      </c>
      <c r="N253" s="17">
        <f t="shared" si="37"/>
        <v>-20</v>
      </c>
      <c r="O253" s="17">
        <f t="shared" si="38"/>
        <v>-810</v>
      </c>
      <c r="P253" s="18">
        <f t="shared" ca="1" si="39"/>
        <v>-0.5</v>
      </c>
      <c r="Q253" s="18">
        <f t="shared" ca="1" si="40"/>
        <v>1.5</v>
      </c>
      <c r="R253" s="19">
        <f t="shared" ca="1" si="41"/>
        <v>516</v>
      </c>
      <c r="S253" s="15">
        <f t="shared" ca="1" si="42"/>
        <v>0</v>
      </c>
    </row>
    <row r="254" spans="9:19">
      <c r="I254" s="15">
        <f t="shared" si="43"/>
        <v>250</v>
      </c>
      <c r="J254" s="16">
        <f t="shared" ca="1" si="33"/>
        <v>398</v>
      </c>
      <c r="K254" s="16">
        <f t="shared" ca="1" si="34"/>
        <v>270</v>
      </c>
      <c r="L254" s="16">
        <f t="shared" ca="1" si="35"/>
        <v>0</v>
      </c>
      <c r="M254" s="17">
        <f t="shared" ca="1" si="36"/>
        <v>1350</v>
      </c>
      <c r="N254" s="17">
        <f t="shared" si="37"/>
        <v>-20</v>
      </c>
      <c r="O254" s="17">
        <f t="shared" si="38"/>
        <v>-810</v>
      </c>
      <c r="P254" s="18">
        <f t="shared" ca="1" si="39"/>
        <v>0</v>
      </c>
      <c r="Q254" s="18">
        <f t="shared" ca="1" si="40"/>
        <v>0</v>
      </c>
      <c r="R254" s="19">
        <f t="shared" ca="1" si="41"/>
        <v>520</v>
      </c>
      <c r="S254" s="15">
        <f t="shared" ca="1" si="42"/>
        <v>0</v>
      </c>
    </row>
    <row r="255" spans="9:19">
      <c r="I255" s="15">
        <f t="shared" si="43"/>
        <v>251</v>
      </c>
      <c r="J255" s="16">
        <f t="shared" ca="1" si="33"/>
        <v>319</v>
      </c>
      <c r="K255" s="16">
        <f t="shared" ca="1" si="34"/>
        <v>270</v>
      </c>
      <c r="L255" s="16">
        <f t="shared" ca="1" si="35"/>
        <v>0</v>
      </c>
      <c r="M255" s="17">
        <f t="shared" ca="1" si="36"/>
        <v>1350</v>
      </c>
      <c r="N255" s="17">
        <f t="shared" si="37"/>
        <v>-20</v>
      </c>
      <c r="O255" s="17">
        <f t="shared" si="38"/>
        <v>-810</v>
      </c>
      <c r="P255" s="18">
        <f t="shared" ca="1" si="39"/>
        <v>0</v>
      </c>
      <c r="Q255" s="18">
        <f t="shared" ca="1" si="40"/>
        <v>0</v>
      </c>
      <c r="R255" s="19">
        <f t="shared" ca="1" si="41"/>
        <v>520</v>
      </c>
      <c r="S255" s="15">
        <f t="shared" ca="1" si="42"/>
        <v>0</v>
      </c>
    </row>
    <row r="256" spans="9:19">
      <c r="I256" s="15">
        <f t="shared" si="43"/>
        <v>252</v>
      </c>
      <c r="J256" s="16">
        <f t="shared" ca="1" si="33"/>
        <v>188</v>
      </c>
      <c r="K256" s="16">
        <f t="shared" ca="1" si="34"/>
        <v>188</v>
      </c>
      <c r="L256" s="16">
        <f t="shared" ca="1" si="35"/>
        <v>82</v>
      </c>
      <c r="M256" s="17">
        <f t="shared" ca="1" si="36"/>
        <v>940</v>
      </c>
      <c r="N256" s="17">
        <f t="shared" si="37"/>
        <v>-20</v>
      </c>
      <c r="O256" s="17">
        <f t="shared" si="38"/>
        <v>-810</v>
      </c>
      <c r="P256" s="18">
        <f t="shared" ca="1" si="39"/>
        <v>-41</v>
      </c>
      <c r="Q256" s="18">
        <f t="shared" ca="1" si="40"/>
        <v>123</v>
      </c>
      <c r="R256" s="19">
        <f t="shared" ca="1" si="41"/>
        <v>192</v>
      </c>
      <c r="S256" s="15">
        <f t="shared" ca="1" si="42"/>
        <v>0</v>
      </c>
    </row>
    <row r="257" spans="9:19">
      <c r="I257" s="15">
        <f t="shared" si="43"/>
        <v>253</v>
      </c>
      <c r="J257" s="16">
        <f t="shared" ca="1" si="33"/>
        <v>316</v>
      </c>
      <c r="K257" s="16">
        <f t="shared" ca="1" si="34"/>
        <v>270</v>
      </c>
      <c r="L257" s="16">
        <f t="shared" ca="1" si="35"/>
        <v>0</v>
      </c>
      <c r="M257" s="17">
        <f t="shared" ca="1" si="36"/>
        <v>1350</v>
      </c>
      <c r="N257" s="17">
        <f t="shared" si="37"/>
        <v>-20</v>
      </c>
      <c r="O257" s="17">
        <f t="shared" si="38"/>
        <v>-810</v>
      </c>
      <c r="P257" s="18">
        <f t="shared" ca="1" si="39"/>
        <v>0</v>
      </c>
      <c r="Q257" s="18">
        <f t="shared" ca="1" si="40"/>
        <v>0</v>
      </c>
      <c r="R257" s="19">
        <f t="shared" ca="1" si="41"/>
        <v>520</v>
      </c>
      <c r="S257" s="15">
        <f t="shared" ca="1" si="42"/>
        <v>0</v>
      </c>
    </row>
    <row r="258" spans="9:19">
      <c r="I258" s="15">
        <f t="shared" si="43"/>
        <v>254</v>
      </c>
      <c r="J258" s="16">
        <f t="shared" ca="1" si="33"/>
        <v>223</v>
      </c>
      <c r="K258" s="16">
        <f t="shared" ca="1" si="34"/>
        <v>223</v>
      </c>
      <c r="L258" s="16">
        <f t="shared" ca="1" si="35"/>
        <v>47</v>
      </c>
      <c r="M258" s="17">
        <f t="shared" ca="1" si="36"/>
        <v>1115</v>
      </c>
      <c r="N258" s="17">
        <f t="shared" si="37"/>
        <v>-20</v>
      </c>
      <c r="O258" s="17">
        <f t="shared" si="38"/>
        <v>-810</v>
      </c>
      <c r="P258" s="18">
        <f t="shared" ca="1" si="39"/>
        <v>-23.5</v>
      </c>
      <c r="Q258" s="18">
        <f t="shared" ca="1" si="40"/>
        <v>70.5</v>
      </c>
      <c r="R258" s="19">
        <f t="shared" ca="1" si="41"/>
        <v>332</v>
      </c>
      <c r="S258" s="15">
        <f t="shared" ca="1" si="42"/>
        <v>0</v>
      </c>
    </row>
    <row r="259" spans="9:19">
      <c r="I259" s="15">
        <f t="shared" si="43"/>
        <v>255</v>
      </c>
      <c r="J259" s="16">
        <f t="shared" ca="1" si="33"/>
        <v>165</v>
      </c>
      <c r="K259" s="16">
        <f t="shared" ca="1" si="34"/>
        <v>165</v>
      </c>
      <c r="L259" s="16">
        <f t="shared" ca="1" si="35"/>
        <v>105</v>
      </c>
      <c r="M259" s="17">
        <f t="shared" ca="1" si="36"/>
        <v>825</v>
      </c>
      <c r="N259" s="17">
        <f t="shared" si="37"/>
        <v>-20</v>
      </c>
      <c r="O259" s="17">
        <f t="shared" si="38"/>
        <v>-810</v>
      </c>
      <c r="P259" s="18">
        <f t="shared" ca="1" si="39"/>
        <v>-52.5</v>
      </c>
      <c r="Q259" s="18">
        <f t="shared" ca="1" si="40"/>
        <v>157.5</v>
      </c>
      <c r="R259" s="19">
        <f t="shared" ca="1" si="41"/>
        <v>100</v>
      </c>
      <c r="S259" s="15">
        <f t="shared" ca="1" si="42"/>
        <v>0</v>
      </c>
    </row>
    <row r="260" spans="9:19">
      <c r="I260" s="15">
        <f t="shared" si="43"/>
        <v>256</v>
      </c>
      <c r="J260" s="16">
        <f t="shared" ca="1" si="33"/>
        <v>384</v>
      </c>
      <c r="K260" s="16">
        <f t="shared" ca="1" si="34"/>
        <v>270</v>
      </c>
      <c r="L260" s="16">
        <f t="shared" ca="1" si="35"/>
        <v>0</v>
      </c>
      <c r="M260" s="17">
        <f t="shared" ca="1" si="36"/>
        <v>1350</v>
      </c>
      <c r="N260" s="17">
        <f t="shared" si="37"/>
        <v>-20</v>
      </c>
      <c r="O260" s="17">
        <f t="shared" si="38"/>
        <v>-810</v>
      </c>
      <c r="P260" s="18">
        <f t="shared" ca="1" si="39"/>
        <v>0</v>
      </c>
      <c r="Q260" s="18">
        <f t="shared" ca="1" si="40"/>
        <v>0</v>
      </c>
      <c r="R260" s="19">
        <f t="shared" ca="1" si="41"/>
        <v>520</v>
      </c>
      <c r="S260" s="15">
        <f t="shared" ca="1" si="42"/>
        <v>0</v>
      </c>
    </row>
    <row r="261" spans="9:19">
      <c r="I261" s="15">
        <f t="shared" si="43"/>
        <v>257</v>
      </c>
      <c r="J261" s="16">
        <f t="shared" ca="1" si="33"/>
        <v>354</v>
      </c>
      <c r="K261" s="16">
        <f t="shared" ca="1" si="34"/>
        <v>270</v>
      </c>
      <c r="L261" s="16">
        <f t="shared" ca="1" si="35"/>
        <v>0</v>
      </c>
      <c r="M261" s="17">
        <f t="shared" ca="1" si="36"/>
        <v>1350</v>
      </c>
      <c r="N261" s="17">
        <f t="shared" si="37"/>
        <v>-20</v>
      </c>
      <c r="O261" s="17">
        <f t="shared" si="38"/>
        <v>-810</v>
      </c>
      <c r="P261" s="18">
        <f t="shared" ca="1" si="39"/>
        <v>0</v>
      </c>
      <c r="Q261" s="18">
        <f t="shared" ca="1" si="40"/>
        <v>0</v>
      </c>
      <c r="R261" s="19">
        <f t="shared" ca="1" si="41"/>
        <v>520</v>
      </c>
      <c r="S261" s="15">
        <f t="shared" ca="1" si="42"/>
        <v>0</v>
      </c>
    </row>
    <row r="262" spans="9:19">
      <c r="I262" s="15">
        <f t="shared" si="43"/>
        <v>258</v>
      </c>
      <c r="J262" s="16">
        <f t="shared" ref="J262:J325" ca="1" si="44">RANDBETWEEN(120,420)</f>
        <v>290</v>
      </c>
      <c r="K262" s="16">
        <f t="shared" ref="K262:K325" ca="1" si="45">IF(J262&gt;=$D$18,$D$18,J262)</f>
        <v>270</v>
      </c>
      <c r="L262" s="16">
        <f t="shared" ref="L262:L325" ca="1" si="46">$D$18-K262</f>
        <v>0</v>
      </c>
      <c r="M262" s="17">
        <f t="shared" ref="M262:M325" ca="1" si="47">K262*5</f>
        <v>1350</v>
      </c>
      <c r="N262" s="17">
        <f t="shared" ref="N262:N325" si="48">-$D$10</f>
        <v>-20</v>
      </c>
      <c r="O262" s="17">
        <f t="shared" ref="O262:O325" si="49">-$D$6*$D$18</f>
        <v>-810</v>
      </c>
      <c r="P262" s="18">
        <f t="shared" ref="P262:P325" ca="1" si="50">-L262*$D$9</f>
        <v>0</v>
      </c>
      <c r="Q262" s="18">
        <f t="shared" ref="Q262:Q325" ca="1" si="51">L262*($D$6*$D$8)</f>
        <v>0</v>
      </c>
      <c r="R262" s="19">
        <f t="shared" ref="R262:R325" ca="1" si="52">SUM(M262:Q262)</f>
        <v>520</v>
      </c>
      <c r="S262" s="15">
        <f t="shared" ref="S262:S325" ca="1" si="53">IF(R262&lt;0,1,0)</f>
        <v>0</v>
      </c>
    </row>
    <row r="263" spans="9:19">
      <c r="I263" s="15">
        <f t="shared" ref="I263:I326" si="54">I262+1</f>
        <v>259</v>
      </c>
      <c r="J263" s="16">
        <f t="shared" ca="1" si="44"/>
        <v>343</v>
      </c>
      <c r="K263" s="16">
        <f t="shared" ca="1" si="45"/>
        <v>270</v>
      </c>
      <c r="L263" s="16">
        <f t="shared" ca="1" si="46"/>
        <v>0</v>
      </c>
      <c r="M263" s="17">
        <f t="shared" ca="1" si="47"/>
        <v>1350</v>
      </c>
      <c r="N263" s="17">
        <f t="shared" si="48"/>
        <v>-20</v>
      </c>
      <c r="O263" s="17">
        <f t="shared" si="49"/>
        <v>-810</v>
      </c>
      <c r="P263" s="18">
        <f t="shared" ca="1" si="50"/>
        <v>0</v>
      </c>
      <c r="Q263" s="18">
        <f t="shared" ca="1" si="51"/>
        <v>0</v>
      </c>
      <c r="R263" s="19">
        <f t="shared" ca="1" si="52"/>
        <v>520</v>
      </c>
      <c r="S263" s="15">
        <f t="shared" ca="1" si="53"/>
        <v>0</v>
      </c>
    </row>
    <row r="264" spans="9:19">
      <c r="I264" s="15">
        <f t="shared" si="54"/>
        <v>260</v>
      </c>
      <c r="J264" s="16">
        <f t="shared" ca="1" si="44"/>
        <v>292</v>
      </c>
      <c r="K264" s="16">
        <f t="shared" ca="1" si="45"/>
        <v>270</v>
      </c>
      <c r="L264" s="16">
        <f t="shared" ca="1" si="46"/>
        <v>0</v>
      </c>
      <c r="M264" s="17">
        <f t="shared" ca="1" si="47"/>
        <v>1350</v>
      </c>
      <c r="N264" s="17">
        <f t="shared" si="48"/>
        <v>-20</v>
      </c>
      <c r="O264" s="17">
        <f t="shared" si="49"/>
        <v>-810</v>
      </c>
      <c r="P264" s="18">
        <f t="shared" ca="1" si="50"/>
        <v>0</v>
      </c>
      <c r="Q264" s="18">
        <f t="shared" ca="1" si="51"/>
        <v>0</v>
      </c>
      <c r="R264" s="19">
        <f t="shared" ca="1" si="52"/>
        <v>520</v>
      </c>
      <c r="S264" s="15">
        <f t="shared" ca="1" si="53"/>
        <v>0</v>
      </c>
    </row>
    <row r="265" spans="9:19">
      <c r="I265" s="15">
        <f t="shared" si="54"/>
        <v>261</v>
      </c>
      <c r="J265" s="16">
        <f t="shared" ca="1" si="44"/>
        <v>281</v>
      </c>
      <c r="K265" s="16">
        <f t="shared" ca="1" si="45"/>
        <v>270</v>
      </c>
      <c r="L265" s="16">
        <f t="shared" ca="1" si="46"/>
        <v>0</v>
      </c>
      <c r="M265" s="17">
        <f t="shared" ca="1" si="47"/>
        <v>1350</v>
      </c>
      <c r="N265" s="17">
        <f t="shared" si="48"/>
        <v>-20</v>
      </c>
      <c r="O265" s="17">
        <f t="shared" si="49"/>
        <v>-810</v>
      </c>
      <c r="P265" s="18">
        <f t="shared" ca="1" si="50"/>
        <v>0</v>
      </c>
      <c r="Q265" s="18">
        <f t="shared" ca="1" si="51"/>
        <v>0</v>
      </c>
      <c r="R265" s="19">
        <f t="shared" ca="1" si="52"/>
        <v>520</v>
      </c>
      <c r="S265" s="15">
        <f t="shared" ca="1" si="53"/>
        <v>0</v>
      </c>
    </row>
    <row r="266" spans="9:19">
      <c r="I266" s="15">
        <f t="shared" si="54"/>
        <v>262</v>
      </c>
      <c r="J266" s="16">
        <f t="shared" ca="1" si="44"/>
        <v>409</v>
      </c>
      <c r="K266" s="16">
        <f t="shared" ca="1" si="45"/>
        <v>270</v>
      </c>
      <c r="L266" s="16">
        <f t="shared" ca="1" si="46"/>
        <v>0</v>
      </c>
      <c r="M266" s="17">
        <f t="shared" ca="1" si="47"/>
        <v>1350</v>
      </c>
      <c r="N266" s="17">
        <f t="shared" si="48"/>
        <v>-20</v>
      </c>
      <c r="O266" s="17">
        <f t="shared" si="49"/>
        <v>-810</v>
      </c>
      <c r="P266" s="18">
        <f t="shared" ca="1" si="50"/>
        <v>0</v>
      </c>
      <c r="Q266" s="18">
        <f t="shared" ca="1" si="51"/>
        <v>0</v>
      </c>
      <c r="R266" s="19">
        <f t="shared" ca="1" si="52"/>
        <v>520</v>
      </c>
      <c r="S266" s="15">
        <f t="shared" ca="1" si="53"/>
        <v>0</v>
      </c>
    </row>
    <row r="267" spans="9:19">
      <c r="I267" s="15">
        <f t="shared" si="54"/>
        <v>263</v>
      </c>
      <c r="J267" s="16">
        <f t="shared" ca="1" si="44"/>
        <v>190</v>
      </c>
      <c r="K267" s="16">
        <f t="shared" ca="1" si="45"/>
        <v>190</v>
      </c>
      <c r="L267" s="16">
        <f t="shared" ca="1" si="46"/>
        <v>80</v>
      </c>
      <c r="M267" s="17">
        <f t="shared" ca="1" si="47"/>
        <v>950</v>
      </c>
      <c r="N267" s="17">
        <f t="shared" si="48"/>
        <v>-20</v>
      </c>
      <c r="O267" s="17">
        <f t="shared" si="49"/>
        <v>-810</v>
      </c>
      <c r="P267" s="18">
        <f t="shared" ca="1" si="50"/>
        <v>-40</v>
      </c>
      <c r="Q267" s="18">
        <f t="shared" ca="1" si="51"/>
        <v>120</v>
      </c>
      <c r="R267" s="19">
        <f t="shared" ca="1" si="52"/>
        <v>200</v>
      </c>
      <c r="S267" s="15">
        <f t="shared" ca="1" si="53"/>
        <v>0</v>
      </c>
    </row>
    <row r="268" spans="9:19">
      <c r="I268" s="15">
        <f t="shared" si="54"/>
        <v>264</v>
      </c>
      <c r="J268" s="16">
        <f t="shared" ca="1" si="44"/>
        <v>142</v>
      </c>
      <c r="K268" s="16">
        <f t="shared" ca="1" si="45"/>
        <v>142</v>
      </c>
      <c r="L268" s="16">
        <f t="shared" ca="1" si="46"/>
        <v>128</v>
      </c>
      <c r="M268" s="17">
        <f t="shared" ca="1" si="47"/>
        <v>710</v>
      </c>
      <c r="N268" s="17">
        <f t="shared" si="48"/>
        <v>-20</v>
      </c>
      <c r="O268" s="17">
        <f t="shared" si="49"/>
        <v>-810</v>
      </c>
      <c r="P268" s="18">
        <f t="shared" ca="1" si="50"/>
        <v>-64</v>
      </c>
      <c r="Q268" s="18">
        <f t="shared" ca="1" si="51"/>
        <v>192</v>
      </c>
      <c r="R268" s="19">
        <f t="shared" ca="1" si="52"/>
        <v>8</v>
      </c>
      <c r="S268" s="15">
        <f t="shared" ca="1" si="53"/>
        <v>0</v>
      </c>
    </row>
    <row r="269" spans="9:19">
      <c r="I269" s="15">
        <f t="shared" si="54"/>
        <v>265</v>
      </c>
      <c r="J269" s="16">
        <f t="shared" ca="1" si="44"/>
        <v>222</v>
      </c>
      <c r="K269" s="16">
        <f t="shared" ca="1" si="45"/>
        <v>222</v>
      </c>
      <c r="L269" s="16">
        <f t="shared" ca="1" si="46"/>
        <v>48</v>
      </c>
      <c r="M269" s="17">
        <f t="shared" ca="1" si="47"/>
        <v>1110</v>
      </c>
      <c r="N269" s="17">
        <f t="shared" si="48"/>
        <v>-20</v>
      </c>
      <c r="O269" s="17">
        <f t="shared" si="49"/>
        <v>-810</v>
      </c>
      <c r="P269" s="18">
        <f t="shared" ca="1" si="50"/>
        <v>-24</v>
      </c>
      <c r="Q269" s="18">
        <f t="shared" ca="1" si="51"/>
        <v>72</v>
      </c>
      <c r="R269" s="19">
        <f t="shared" ca="1" si="52"/>
        <v>328</v>
      </c>
      <c r="S269" s="15">
        <f t="shared" ca="1" si="53"/>
        <v>0</v>
      </c>
    </row>
    <row r="270" spans="9:19">
      <c r="I270" s="15">
        <f t="shared" si="54"/>
        <v>266</v>
      </c>
      <c r="J270" s="16">
        <f t="shared" ca="1" si="44"/>
        <v>158</v>
      </c>
      <c r="K270" s="16">
        <f t="shared" ca="1" si="45"/>
        <v>158</v>
      </c>
      <c r="L270" s="16">
        <f t="shared" ca="1" si="46"/>
        <v>112</v>
      </c>
      <c r="M270" s="17">
        <f t="shared" ca="1" si="47"/>
        <v>790</v>
      </c>
      <c r="N270" s="17">
        <f t="shared" si="48"/>
        <v>-20</v>
      </c>
      <c r="O270" s="17">
        <f t="shared" si="49"/>
        <v>-810</v>
      </c>
      <c r="P270" s="18">
        <f t="shared" ca="1" si="50"/>
        <v>-56</v>
      </c>
      <c r="Q270" s="18">
        <f t="shared" ca="1" si="51"/>
        <v>168</v>
      </c>
      <c r="R270" s="19">
        <f t="shared" ca="1" si="52"/>
        <v>72</v>
      </c>
      <c r="S270" s="15">
        <f t="shared" ca="1" si="53"/>
        <v>0</v>
      </c>
    </row>
    <row r="271" spans="9:19">
      <c r="I271" s="15">
        <f t="shared" si="54"/>
        <v>267</v>
      </c>
      <c r="J271" s="16">
        <f t="shared" ca="1" si="44"/>
        <v>143</v>
      </c>
      <c r="K271" s="16">
        <f t="shared" ca="1" si="45"/>
        <v>143</v>
      </c>
      <c r="L271" s="16">
        <f t="shared" ca="1" si="46"/>
        <v>127</v>
      </c>
      <c r="M271" s="17">
        <f t="shared" ca="1" si="47"/>
        <v>715</v>
      </c>
      <c r="N271" s="17">
        <f t="shared" si="48"/>
        <v>-20</v>
      </c>
      <c r="O271" s="17">
        <f t="shared" si="49"/>
        <v>-810</v>
      </c>
      <c r="P271" s="18">
        <f t="shared" ca="1" si="50"/>
        <v>-63.5</v>
      </c>
      <c r="Q271" s="18">
        <f t="shared" ca="1" si="51"/>
        <v>190.5</v>
      </c>
      <c r="R271" s="19">
        <f t="shared" ca="1" si="52"/>
        <v>12</v>
      </c>
      <c r="S271" s="15">
        <f t="shared" ca="1" si="53"/>
        <v>0</v>
      </c>
    </row>
    <row r="272" spans="9:19">
      <c r="I272" s="15">
        <f t="shared" si="54"/>
        <v>268</v>
      </c>
      <c r="J272" s="16">
        <f t="shared" ca="1" si="44"/>
        <v>412</v>
      </c>
      <c r="K272" s="16">
        <f t="shared" ca="1" si="45"/>
        <v>270</v>
      </c>
      <c r="L272" s="16">
        <f t="shared" ca="1" si="46"/>
        <v>0</v>
      </c>
      <c r="M272" s="17">
        <f t="shared" ca="1" si="47"/>
        <v>1350</v>
      </c>
      <c r="N272" s="17">
        <f t="shared" si="48"/>
        <v>-20</v>
      </c>
      <c r="O272" s="17">
        <f t="shared" si="49"/>
        <v>-810</v>
      </c>
      <c r="P272" s="18">
        <f t="shared" ca="1" si="50"/>
        <v>0</v>
      </c>
      <c r="Q272" s="18">
        <f t="shared" ca="1" si="51"/>
        <v>0</v>
      </c>
      <c r="R272" s="19">
        <f t="shared" ca="1" si="52"/>
        <v>520</v>
      </c>
      <c r="S272" s="15">
        <f t="shared" ca="1" si="53"/>
        <v>0</v>
      </c>
    </row>
    <row r="273" spans="9:19">
      <c r="I273" s="15">
        <f t="shared" si="54"/>
        <v>269</v>
      </c>
      <c r="J273" s="16">
        <f t="shared" ca="1" si="44"/>
        <v>411</v>
      </c>
      <c r="K273" s="16">
        <f t="shared" ca="1" si="45"/>
        <v>270</v>
      </c>
      <c r="L273" s="16">
        <f t="shared" ca="1" si="46"/>
        <v>0</v>
      </c>
      <c r="M273" s="17">
        <f t="shared" ca="1" si="47"/>
        <v>1350</v>
      </c>
      <c r="N273" s="17">
        <f t="shared" si="48"/>
        <v>-20</v>
      </c>
      <c r="O273" s="17">
        <f t="shared" si="49"/>
        <v>-810</v>
      </c>
      <c r="P273" s="18">
        <f t="shared" ca="1" si="50"/>
        <v>0</v>
      </c>
      <c r="Q273" s="18">
        <f t="shared" ca="1" si="51"/>
        <v>0</v>
      </c>
      <c r="R273" s="19">
        <f t="shared" ca="1" si="52"/>
        <v>520</v>
      </c>
      <c r="S273" s="15">
        <f t="shared" ca="1" si="53"/>
        <v>0</v>
      </c>
    </row>
    <row r="274" spans="9:19">
      <c r="I274" s="15">
        <f t="shared" si="54"/>
        <v>270</v>
      </c>
      <c r="J274" s="16">
        <f t="shared" ca="1" si="44"/>
        <v>154</v>
      </c>
      <c r="K274" s="16">
        <f t="shared" ca="1" si="45"/>
        <v>154</v>
      </c>
      <c r="L274" s="16">
        <f t="shared" ca="1" si="46"/>
        <v>116</v>
      </c>
      <c r="M274" s="17">
        <f t="shared" ca="1" si="47"/>
        <v>770</v>
      </c>
      <c r="N274" s="17">
        <f t="shared" si="48"/>
        <v>-20</v>
      </c>
      <c r="O274" s="17">
        <f t="shared" si="49"/>
        <v>-810</v>
      </c>
      <c r="P274" s="18">
        <f t="shared" ca="1" si="50"/>
        <v>-58</v>
      </c>
      <c r="Q274" s="18">
        <f t="shared" ca="1" si="51"/>
        <v>174</v>
      </c>
      <c r="R274" s="19">
        <f t="shared" ca="1" si="52"/>
        <v>56</v>
      </c>
      <c r="S274" s="15">
        <f t="shared" ca="1" si="53"/>
        <v>0</v>
      </c>
    </row>
    <row r="275" spans="9:19">
      <c r="I275" s="15">
        <f t="shared" si="54"/>
        <v>271</v>
      </c>
      <c r="J275" s="16">
        <f t="shared" ca="1" si="44"/>
        <v>237</v>
      </c>
      <c r="K275" s="16">
        <f t="shared" ca="1" si="45"/>
        <v>237</v>
      </c>
      <c r="L275" s="16">
        <f t="shared" ca="1" si="46"/>
        <v>33</v>
      </c>
      <c r="M275" s="17">
        <f t="shared" ca="1" si="47"/>
        <v>1185</v>
      </c>
      <c r="N275" s="17">
        <f t="shared" si="48"/>
        <v>-20</v>
      </c>
      <c r="O275" s="17">
        <f t="shared" si="49"/>
        <v>-810</v>
      </c>
      <c r="P275" s="18">
        <f t="shared" ca="1" si="50"/>
        <v>-16.5</v>
      </c>
      <c r="Q275" s="18">
        <f t="shared" ca="1" si="51"/>
        <v>49.5</v>
      </c>
      <c r="R275" s="19">
        <f t="shared" ca="1" si="52"/>
        <v>388</v>
      </c>
      <c r="S275" s="15">
        <f t="shared" ca="1" si="53"/>
        <v>0</v>
      </c>
    </row>
    <row r="276" spans="9:19">
      <c r="I276" s="15">
        <f t="shared" si="54"/>
        <v>272</v>
      </c>
      <c r="J276" s="16">
        <f t="shared" ca="1" si="44"/>
        <v>325</v>
      </c>
      <c r="K276" s="16">
        <f t="shared" ca="1" si="45"/>
        <v>270</v>
      </c>
      <c r="L276" s="16">
        <f t="shared" ca="1" si="46"/>
        <v>0</v>
      </c>
      <c r="M276" s="17">
        <f t="shared" ca="1" si="47"/>
        <v>1350</v>
      </c>
      <c r="N276" s="17">
        <f t="shared" si="48"/>
        <v>-20</v>
      </c>
      <c r="O276" s="17">
        <f t="shared" si="49"/>
        <v>-810</v>
      </c>
      <c r="P276" s="18">
        <f t="shared" ca="1" si="50"/>
        <v>0</v>
      </c>
      <c r="Q276" s="18">
        <f t="shared" ca="1" si="51"/>
        <v>0</v>
      </c>
      <c r="R276" s="19">
        <f t="shared" ca="1" si="52"/>
        <v>520</v>
      </c>
      <c r="S276" s="15">
        <f t="shared" ca="1" si="53"/>
        <v>0</v>
      </c>
    </row>
    <row r="277" spans="9:19">
      <c r="I277" s="15">
        <f t="shared" si="54"/>
        <v>273</v>
      </c>
      <c r="J277" s="16">
        <f t="shared" ca="1" si="44"/>
        <v>318</v>
      </c>
      <c r="K277" s="16">
        <f t="shared" ca="1" si="45"/>
        <v>270</v>
      </c>
      <c r="L277" s="16">
        <f t="shared" ca="1" si="46"/>
        <v>0</v>
      </c>
      <c r="M277" s="17">
        <f t="shared" ca="1" si="47"/>
        <v>1350</v>
      </c>
      <c r="N277" s="17">
        <f t="shared" si="48"/>
        <v>-20</v>
      </c>
      <c r="O277" s="17">
        <f t="shared" si="49"/>
        <v>-810</v>
      </c>
      <c r="P277" s="18">
        <f t="shared" ca="1" si="50"/>
        <v>0</v>
      </c>
      <c r="Q277" s="18">
        <f t="shared" ca="1" si="51"/>
        <v>0</v>
      </c>
      <c r="R277" s="19">
        <f t="shared" ca="1" si="52"/>
        <v>520</v>
      </c>
      <c r="S277" s="15">
        <f t="shared" ca="1" si="53"/>
        <v>0</v>
      </c>
    </row>
    <row r="278" spans="9:19">
      <c r="I278" s="15">
        <f t="shared" si="54"/>
        <v>274</v>
      </c>
      <c r="J278" s="16">
        <f t="shared" ca="1" si="44"/>
        <v>284</v>
      </c>
      <c r="K278" s="16">
        <f t="shared" ca="1" si="45"/>
        <v>270</v>
      </c>
      <c r="L278" s="16">
        <f t="shared" ca="1" si="46"/>
        <v>0</v>
      </c>
      <c r="M278" s="17">
        <f t="shared" ca="1" si="47"/>
        <v>1350</v>
      </c>
      <c r="N278" s="17">
        <f t="shared" si="48"/>
        <v>-20</v>
      </c>
      <c r="O278" s="17">
        <f t="shared" si="49"/>
        <v>-810</v>
      </c>
      <c r="P278" s="18">
        <f t="shared" ca="1" si="50"/>
        <v>0</v>
      </c>
      <c r="Q278" s="18">
        <f t="shared" ca="1" si="51"/>
        <v>0</v>
      </c>
      <c r="R278" s="19">
        <f t="shared" ca="1" si="52"/>
        <v>520</v>
      </c>
      <c r="S278" s="15">
        <f t="shared" ca="1" si="53"/>
        <v>0</v>
      </c>
    </row>
    <row r="279" spans="9:19">
      <c r="I279" s="15">
        <f t="shared" si="54"/>
        <v>275</v>
      </c>
      <c r="J279" s="16">
        <f t="shared" ca="1" si="44"/>
        <v>225</v>
      </c>
      <c r="K279" s="16">
        <f t="shared" ca="1" si="45"/>
        <v>225</v>
      </c>
      <c r="L279" s="16">
        <f t="shared" ca="1" si="46"/>
        <v>45</v>
      </c>
      <c r="M279" s="17">
        <f t="shared" ca="1" si="47"/>
        <v>1125</v>
      </c>
      <c r="N279" s="17">
        <f t="shared" si="48"/>
        <v>-20</v>
      </c>
      <c r="O279" s="17">
        <f t="shared" si="49"/>
        <v>-810</v>
      </c>
      <c r="P279" s="18">
        <f t="shared" ca="1" si="50"/>
        <v>-22.5</v>
      </c>
      <c r="Q279" s="18">
        <f t="shared" ca="1" si="51"/>
        <v>67.5</v>
      </c>
      <c r="R279" s="19">
        <f t="shared" ca="1" si="52"/>
        <v>340</v>
      </c>
      <c r="S279" s="15">
        <f t="shared" ca="1" si="53"/>
        <v>0</v>
      </c>
    </row>
    <row r="280" spans="9:19">
      <c r="I280" s="15">
        <f t="shared" si="54"/>
        <v>276</v>
      </c>
      <c r="J280" s="16">
        <f t="shared" ca="1" si="44"/>
        <v>377</v>
      </c>
      <c r="K280" s="16">
        <f t="shared" ca="1" si="45"/>
        <v>270</v>
      </c>
      <c r="L280" s="16">
        <f t="shared" ca="1" si="46"/>
        <v>0</v>
      </c>
      <c r="M280" s="17">
        <f t="shared" ca="1" si="47"/>
        <v>1350</v>
      </c>
      <c r="N280" s="17">
        <f t="shared" si="48"/>
        <v>-20</v>
      </c>
      <c r="O280" s="17">
        <f t="shared" si="49"/>
        <v>-810</v>
      </c>
      <c r="P280" s="18">
        <f t="shared" ca="1" si="50"/>
        <v>0</v>
      </c>
      <c r="Q280" s="18">
        <f t="shared" ca="1" si="51"/>
        <v>0</v>
      </c>
      <c r="R280" s="19">
        <f t="shared" ca="1" si="52"/>
        <v>520</v>
      </c>
      <c r="S280" s="15">
        <f t="shared" ca="1" si="53"/>
        <v>0</v>
      </c>
    </row>
    <row r="281" spans="9:19">
      <c r="I281" s="15">
        <f t="shared" si="54"/>
        <v>277</v>
      </c>
      <c r="J281" s="16">
        <f t="shared" ca="1" si="44"/>
        <v>182</v>
      </c>
      <c r="K281" s="16">
        <f t="shared" ca="1" si="45"/>
        <v>182</v>
      </c>
      <c r="L281" s="16">
        <f t="shared" ca="1" si="46"/>
        <v>88</v>
      </c>
      <c r="M281" s="17">
        <f t="shared" ca="1" si="47"/>
        <v>910</v>
      </c>
      <c r="N281" s="17">
        <f t="shared" si="48"/>
        <v>-20</v>
      </c>
      <c r="O281" s="17">
        <f t="shared" si="49"/>
        <v>-810</v>
      </c>
      <c r="P281" s="18">
        <f t="shared" ca="1" si="50"/>
        <v>-44</v>
      </c>
      <c r="Q281" s="18">
        <f t="shared" ca="1" si="51"/>
        <v>132</v>
      </c>
      <c r="R281" s="19">
        <f t="shared" ca="1" si="52"/>
        <v>168</v>
      </c>
      <c r="S281" s="15">
        <f t="shared" ca="1" si="53"/>
        <v>0</v>
      </c>
    </row>
    <row r="282" spans="9:19">
      <c r="I282" s="15">
        <f t="shared" si="54"/>
        <v>278</v>
      </c>
      <c r="J282" s="16">
        <f t="shared" ca="1" si="44"/>
        <v>158</v>
      </c>
      <c r="K282" s="16">
        <f t="shared" ca="1" si="45"/>
        <v>158</v>
      </c>
      <c r="L282" s="16">
        <f t="shared" ca="1" si="46"/>
        <v>112</v>
      </c>
      <c r="M282" s="17">
        <f t="shared" ca="1" si="47"/>
        <v>790</v>
      </c>
      <c r="N282" s="17">
        <f t="shared" si="48"/>
        <v>-20</v>
      </c>
      <c r="O282" s="17">
        <f t="shared" si="49"/>
        <v>-810</v>
      </c>
      <c r="P282" s="18">
        <f t="shared" ca="1" si="50"/>
        <v>-56</v>
      </c>
      <c r="Q282" s="18">
        <f t="shared" ca="1" si="51"/>
        <v>168</v>
      </c>
      <c r="R282" s="19">
        <f t="shared" ca="1" si="52"/>
        <v>72</v>
      </c>
      <c r="S282" s="15">
        <f t="shared" ca="1" si="53"/>
        <v>0</v>
      </c>
    </row>
    <row r="283" spans="9:19">
      <c r="I283" s="15">
        <f t="shared" si="54"/>
        <v>279</v>
      </c>
      <c r="J283" s="16">
        <f t="shared" ca="1" si="44"/>
        <v>261</v>
      </c>
      <c r="K283" s="16">
        <f t="shared" ca="1" si="45"/>
        <v>261</v>
      </c>
      <c r="L283" s="16">
        <f t="shared" ca="1" si="46"/>
        <v>9</v>
      </c>
      <c r="M283" s="17">
        <f t="shared" ca="1" si="47"/>
        <v>1305</v>
      </c>
      <c r="N283" s="17">
        <f t="shared" si="48"/>
        <v>-20</v>
      </c>
      <c r="O283" s="17">
        <f t="shared" si="49"/>
        <v>-810</v>
      </c>
      <c r="P283" s="18">
        <f t="shared" ca="1" si="50"/>
        <v>-4.5</v>
      </c>
      <c r="Q283" s="18">
        <f t="shared" ca="1" si="51"/>
        <v>13.5</v>
      </c>
      <c r="R283" s="19">
        <f t="shared" ca="1" si="52"/>
        <v>484</v>
      </c>
      <c r="S283" s="15">
        <f t="shared" ca="1" si="53"/>
        <v>0</v>
      </c>
    </row>
    <row r="284" spans="9:19">
      <c r="I284" s="15">
        <f t="shared" si="54"/>
        <v>280</v>
      </c>
      <c r="J284" s="16">
        <f t="shared" ca="1" si="44"/>
        <v>372</v>
      </c>
      <c r="K284" s="16">
        <f t="shared" ca="1" si="45"/>
        <v>270</v>
      </c>
      <c r="L284" s="16">
        <f t="shared" ca="1" si="46"/>
        <v>0</v>
      </c>
      <c r="M284" s="17">
        <f t="shared" ca="1" si="47"/>
        <v>1350</v>
      </c>
      <c r="N284" s="17">
        <f t="shared" si="48"/>
        <v>-20</v>
      </c>
      <c r="O284" s="17">
        <f t="shared" si="49"/>
        <v>-810</v>
      </c>
      <c r="P284" s="18">
        <f t="shared" ca="1" si="50"/>
        <v>0</v>
      </c>
      <c r="Q284" s="18">
        <f t="shared" ca="1" si="51"/>
        <v>0</v>
      </c>
      <c r="R284" s="19">
        <f t="shared" ca="1" si="52"/>
        <v>520</v>
      </c>
      <c r="S284" s="15">
        <f t="shared" ca="1" si="53"/>
        <v>0</v>
      </c>
    </row>
    <row r="285" spans="9:19">
      <c r="I285" s="15">
        <f t="shared" si="54"/>
        <v>281</v>
      </c>
      <c r="J285" s="16">
        <f t="shared" ca="1" si="44"/>
        <v>408</v>
      </c>
      <c r="K285" s="16">
        <f t="shared" ca="1" si="45"/>
        <v>270</v>
      </c>
      <c r="L285" s="16">
        <f t="shared" ca="1" si="46"/>
        <v>0</v>
      </c>
      <c r="M285" s="17">
        <f t="shared" ca="1" si="47"/>
        <v>1350</v>
      </c>
      <c r="N285" s="17">
        <f t="shared" si="48"/>
        <v>-20</v>
      </c>
      <c r="O285" s="17">
        <f t="shared" si="49"/>
        <v>-810</v>
      </c>
      <c r="P285" s="18">
        <f t="shared" ca="1" si="50"/>
        <v>0</v>
      </c>
      <c r="Q285" s="18">
        <f t="shared" ca="1" si="51"/>
        <v>0</v>
      </c>
      <c r="R285" s="19">
        <f t="shared" ca="1" si="52"/>
        <v>520</v>
      </c>
      <c r="S285" s="15">
        <f t="shared" ca="1" si="53"/>
        <v>0</v>
      </c>
    </row>
    <row r="286" spans="9:19">
      <c r="I286" s="15">
        <f t="shared" si="54"/>
        <v>282</v>
      </c>
      <c r="J286" s="16">
        <f t="shared" ca="1" si="44"/>
        <v>384</v>
      </c>
      <c r="K286" s="16">
        <f t="shared" ca="1" si="45"/>
        <v>270</v>
      </c>
      <c r="L286" s="16">
        <f t="shared" ca="1" si="46"/>
        <v>0</v>
      </c>
      <c r="M286" s="17">
        <f t="shared" ca="1" si="47"/>
        <v>1350</v>
      </c>
      <c r="N286" s="17">
        <f t="shared" si="48"/>
        <v>-20</v>
      </c>
      <c r="O286" s="17">
        <f t="shared" si="49"/>
        <v>-810</v>
      </c>
      <c r="P286" s="18">
        <f t="shared" ca="1" si="50"/>
        <v>0</v>
      </c>
      <c r="Q286" s="18">
        <f t="shared" ca="1" si="51"/>
        <v>0</v>
      </c>
      <c r="R286" s="19">
        <f t="shared" ca="1" si="52"/>
        <v>520</v>
      </c>
      <c r="S286" s="15">
        <f t="shared" ca="1" si="53"/>
        <v>0</v>
      </c>
    </row>
    <row r="287" spans="9:19">
      <c r="I287" s="15">
        <f t="shared" si="54"/>
        <v>283</v>
      </c>
      <c r="J287" s="16">
        <f t="shared" ca="1" si="44"/>
        <v>226</v>
      </c>
      <c r="K287" s="16">
        <f t="shared" ca="1" si="45"/>
        <v>226</v>
      </c>
      <c r="L287" s="16">
        <f t="shared" ca="1" si="46"/>
        <v>44</v>
      </c>
      <c r="M287" s="17">
        <f t="shared" ca="1" si="47"/>
        <v>1130</v>
      </c>
      <c r="N287" s="17">
        <f t="shared" si="48"/>
        <v>-20</v>
      </c>
      <c r="O287" s="17">
        <f t="shared" si="49"/>
        <v>-810</v>
      </c>
      <c r="P287" s="18">
        <f t="shared" ca="1" si="50"/>
        <v>-22</v>
      </c>
      <c r="Q287" s="18">
        <f t="shared" ca="1" si="51"/>
        <v>66</v>
      </c>
      <c r="R287" s="19">
        <f t="shared" ca="1" si="52"/>
        <v>344</v>
      </c>
      <c r="S287" s="15">
        <f t="shared" ca="1" si="53"/>
        <v>0</v>
      </c>
    </row>
    <row r="288" spans="9:19">
      <c r="I288" s="15">
        <f t="shared" si="54"/>
        <v>284</v>
      </c>
      <c r="J288" s="16">
        <f t="shared" ca="1" si="44"/>
        <v>419</v>
      </c>
      <c r="K288" s="16">
        <f t="shared" ca="1" si="45"/>
        <v>270</v>
      </c>
      <c r="L288" s="16">
        <f t="shared" ca="1" si="46"/>
        <v>0</v>
      </c>
      <c r="M288" s="17">
        <f t="shared" ca="1" si="47"/>
        <v>1350</v>
      </c>
      <c r="N288" s="17">
        <f t="shared" si="48"/>
        <v>-20</v>
      </c>
      <c r="O288" s="17">
        <f t="shared" si="49"/>
        <v>-810</v>
      </c>
      <c r="P288" s="18">
        <f t="shared" ca="1" si="50"/>
        <v>0</v>
      </c>
      <c r="Q288" s="18">
        <f t="shared" ca="1" si="51"/>
        <v>0</v>
      </c>
      <c r="R288" s="19">
        <f t="shared" ca="1" si="52"/>
        <v>520</v>
      </c>
      <c r="S288" s="15">
        <f t="shared" ca="1" si="53"/>
        <v>0</v>
      </c>
    </row>
    <row r="289" spans="9:19">
      <c r="I289" s="15">
        <f t="shared" si="54"/>
        <v>285</v>
      </c>
      <c r="J289" s="16">
        <f t="shared" ca="1" si="44"/>
        <v>227</v>
      </c>
      <c r="K289" s="16">
        <f t="shared" ca="1" si="45"/>
        <v>227</v>
      </c>
      <c r="L289" s="16">
        <f t="shared" ca="1" si="46"/>
        <v>43</v>
      </c>
      <c r="M289" s="17">
        <f t="shared" ca="1" si="47"/>
        <v>1135</v>
      </c>
      <c r="N289" s="17">
        <f t="shared" si="48"/>
        <v>-20</v>
      </c>
      <c r="O289" s="17">
        <f t="shared" si="49"/>
        <v>-810</v>
      </c>
      <c r="P289" s="18">
        <f t="shared" ca="1" si="50"/>
        <v>-21.5</v>
      </c>
      <c r="Q289" s="18">
        <f t="shared" ca="1" si="51"/>
        <v>64.5</v>
      </c>
      <c r="R289" s="19">
        <f t="shared" ca="1" si="52"/>
        <v>348</v>
      </c>
      <c r="S289" s="15">
        <f t="shared" ca="1" si="53"/>
        <v>0</v>
      </c>
    </row>
    <row r="290" spans="9:19">
      <c r="I290" s="15">
        <f t="shared" si="54"/>
        <v>286</v>
      </c>
      <c r="J290" s="16">
        <f t="shared" ca="1" si="44"/>
        <v>173</v>
      </c>
      <c r="K290" s="16">
        <f t="shared" ca="1" si="45"/>
        <v>173</v>
      </c>
      <c r="L290" s="16">
        <f t="shared" ca="1" si="46"/>
        <v>97</v>
      </c>
      <c r="M290" s="17">
        <f t="shared" ca="1" si="47"/>
        <v>865</v>
      </c>
      <c r="N290" s="17">
        <f t="shared" si="48"/>
        <v>-20</v>
      </c>
      <c r="O290" s="17">
        <f t="shared" si="49"/>
        <v>-810</v>
      </c>
      <c r="P290" s="18">
        <f t="shared" ca="1" si="50"/>
        <v>-48.5</v>
      </c>
      <c r="Q290" s="18">
        <f t="shared" ca="1" si="51"/>
        <v>145.5</v>
      </c>
      <c r="R290" s="19">
        <f t="shared" ca="1" si="52"/>
        <v>132</v>
      </c>
      <c r="S290" s="15">
        <f t="shared" ca="1" si="53"/>
        <v>0</v>
      </c>
    </row>
    <row r="291" spans="9:19">
      <c r="I291" s="15">
        <f t="shared" si="54"/>
        <v>287</v>
      </c>
      <c r="J291" s="16">
        <f t="shared" ca="1" si="44"/>
        <v>202</v>
      </c>
      <c r="K291" s="16">
        <f t="shared" ca="1" si="45"/>
        <v>202</v>
      </c>
      <c r="L291" s="16">
        <f t="shared" ca="1" si="46"/>
        <v>68</v>
      </c>
      <c r="M291" s="17">
        <f t="shared" ca="1" si="47"/>
        <v>1010</v>
      </c>
      <c r="N291" s="17">
        <f t="shared" si="48"/>
        <v>-20</v>
      </c>
      <c r="O291" s="17">
        <f t="shared" si="49"/>
        <v>-810</v>
      </c>
      <c r="P291" s="18">
        <f t="shared" ca="1" si="50"/>
        <v>-34</v>
      </c>
      <c r="Q291" s="18">
        <f t="shared" ca="1" si="51"/>
        <v>102</v>
      </c>
      <c r="R291" s="19">
        <f t="shared" ca="1" si="52"/>
        <v>248</v>
      </c>
      <c r="S291" s="15">
        <f t="shared" ca="1" si="53"/>
        <v>0</v>
      </c>
    </row>
    <row r="292" spans="9:19">
      <c r="I292" s="15">
        <f t="shared" si="54"/>
        <v>288</v>
      </c>
      <c r="J292" s="16">
        <f t="shared" ca="1" si="44"/>
        <v>224</v>
      </c>
      <c r="K292" s="16">
        <f t="shared" ca="1" si="45"/>
        <v>224</v>
      </c>
      <c r="L292" s="16">
        <f t="shared" ca="1" si="46"/>
        <v>46</v>
      </c>
      <c r="M292" s="17">
        <f t="shared" ca="1" si="47"/>
        <v>1120</v>
      </c>
      <c r="N292" s="17">
        <f t="shared" si="48"/>
        <v>-20</v>
      </c>
      <c r="O292" s="17">
        <f t="shared" si="49"/>
        <v>-810</v>
      </c>
      <c r="P292" s="18">
        <f t="shared" ca="1" si="50"/>
        <v>-23</v>
      </c>
      <c r="Q292" s="18">
        <f t="shared" ca="1" si="51"/>
        <v>69</v>
      </c>
      <c r="R292" s="19">
        <f t="shared" ca="1" si="52"/>
        <v>336</v>
      </c>
      <c r="S292" s="15">
        <f t="shared" ca="1" si="53"/>
        <v>0</v>
      </c>
    </row>
    <row r="293" spans="9:19">
      <c r="I293" s="15">
        <f t="shared" si="54"/>
        <v>289</v>
      </c>
      <c r="J293" s="16">
        <f t="shared" ca="1" si="44"/>
        <v>322</v>
      </c>
      <c r="K293" s="16">
        <f t="shared" ca="1" si="45"/>
        <v>270</v>
      </c>
      <c r="L293" s="16">
        <f t="shared" ca="1" si="46"/>
        <v>0</v>
      </c>
      <c r="M293" s="17">
        <f t="shared" ca="1" si="47"/>
        <v>1350</v>
      </c>
      <c r="N293" s="17">
        <f t="shared" si="48"/>
        <v>-20</v>
      </c>
      <c r="O293" s="17">
        <f t="shared" si="49"/>
        <v>-810</v>
      </c>
      <c r="P293" s="18">
        <f t="shared" ca="1" si="50"/>
        <v>0</v>
      </c>
      <c r="Q293" s="18">
        <f t="shared" ca="1" si="51"/>
        <v>0</v>
      </c>
      <c r="R293" s="19">
        <f t="shared" ca="1" si="52"/>
        <v>520</v>
      </c>
      <c r="S293" s="15">
        <f t="shared" ca="1" si="53"/>
        <v>0</v>
      </c>
    </row>
    <row r="294" spans="9:19">
      <c r="I294" s="15">
        <f t="shared" si="54"/>
        <v>290</v>
      </c>
      <c r="J294" s="16">
        <f t="shared" ca="1" si="44"/>
        <v>205</v>
      </c>
      <c r="K294" s="16">
        <f t="shared" ca="1" si="45"/>
        <v>205</v>
      </c>
      <c r="L294" s="16">
        <f t="shared" ca="1" si="46"/>
        <v>65</v>
      </c>
      <c r="M294" s="17">
        <f t="shared" ca="1" si="47"/>
        <v>1025</v>
      </c>
      <c r="N294" s="17">
        <f t="shared" si="48"/>
        <v>-20</v>
      </c>
      <c r="O294" s="17">
        <f t="shared" si="49"/>
        <v>-810</v>
      </c>
      <c r="P294" s="18">
        <f t="shared" ca="1" si="50"/>
        <v>-32.5</v>
      </c>
      <c r="Q294" s="18">
        <f t="shared" ca="1" si="51"/>
        <v>97.5</v>
      </c>
      <c r="R294" s="19">
        <f t="shared" ca="1" si="52"/>
        <v>260</v>
      </c>
      <c r="S294" s="15">
        <f t="shared" ca="1" si="53"/>
        <v>0</v>
      </c>
    </row>
    <row r="295" spans="9:19">
      <c r="I295" s="15">
        <f t="shared" si="54"/>
        <v>291</v>
      </c>
      <c r="J295" s="16">
        <f t="shared" ca="1" si="44"/>
        <v>141</v>
      </c>
      <c r="K295" s="16">
        <f t="shared" ca="1" si="45"/>
        <v>141</v>
      </c>
      <c r="L295" s="16">
        <f t="shared" ca="1" si="46"/>
        <v>129</v>
      </c>
      <c r="M295" s="17">
        <f t="shared" ca="1" si="47"/>
        <v>705</v>
      </c>
      <c r="N295" s="17">
        <f t="shared" si="48"/>
        <v>-20</v>
      </c>
      <c r="O295" s="17">
        <f t="shared" si="49"/>
        <v>-810</v>
      </c>
      <c r="P295" s="18">
        <f t="shared" ca="1" si="50"/>
        <v>-64.5</v>
      </c>
      <c r="Q295" s="18">
        <f t="shared" ca="1" si="51"/>
        <v>193.5</v>
      </c>
      <c r="R295" s="19">
        <f t="shared" ca="1" si="52"/>
        <v>4</v>
      </c>
      <c r="S295" s="15">
        <f t="shared" ca="1" si="53"/>
        <v>0</v>
      </c>
    </row>
    <row r="296" spans="9:19">
      <c r="I296" s="15">
        <f t="shared" si="54"/>
        <v>292</v>
      </c>
      <c r="J296" s="16">
        <f t="shared" ca="1" si="44"/>
        <v>413</v>
      </c>
      <c r="K296" s="16">
        <f t="shared" ca="1" si="45"/>
        <v>270</v>
      </c>
      <c r="L296" s="16">
        <f t="shared" ca="1" si="46"/>
        <v>0</v>
      </c>
      <c r="M296" s="17">
        <f t="shared" ca="1" si="47"/>
        <v>1350</v>
      </c>
      <c r="N296" s="17">
        <f t="shared" si="48"/>
        <v>-20</v>
      </c>
      <c r="O296" s="17">
        <f t="shared" si="49"/>
        <v>-810</v>
      </c>
      <c r="P296" s="18">
        <f t="shared" ca="1" si="50"/>
        <v>0</v>
      </c>
      <c r="Q296" s="18">
        <f t="shared" ca="1" si="51"/>
        <v>0</v>
      </c>
      <c r="R296" s="19">
        <f t="shared" ca="1" si="52"/>
        <v>520</v>
      </c>
      <c r="S296" s="15">
        <f t="shared" ca="1" si="53"/>
        <v>0</v>
      </c>
    </row>
    <row r="297" spans="9:19">
      <c r="I297" s="15">
        <f t="shared" si="54"/>
        <v>293</v>
      </c>
      <c r="J297" s="16">
        <f t="shared" ca="1" si="44"/>
        <v>267</v>
      </c>
      <c r="K297" s="16">
        <f t="shared" ca="1" si="45"/>
        <v>267</v>
      </c>
      <c r="L297" s="16">
        <f t="shared" ca="1" si="46"/>
        <v>3</v>
      </c>
      <c r="M297" s="17">
        <f t="shared" ca="1" si="47"/>
        <v>1335</v>
      </c>
      <c r="N297" s="17">
        <f t="shared" si="48"/>
        <v>-20</v>
      </c>
      <c r="O297" s="17">
        <f t="shared" si="49"/>
        <v>-810</v>
      </c>
      <c r="P297" s="18">
        <f t="shared" ca="1" si="50"/>
        <v>-1.5</v>
      </c>
      <c r="Q297" s="18">
        <f t="shared" ca="1" si="51"/>
        <v>4.5</v>
      </c>
      <c r="R297" s="19">
        <f t="shared" ca="1" si="52"/>
        <v>508</v>
      </c>
      <c r="S297" s="15">
        <f t="shared" ca="1" si="53"/>
        <v>0</v>
      </c>
    </row>
    <row r="298" spans="9:19">
      <c r="I298" s="15">
        <f t="shared" si="54"/>
        <v>294</v>
      </c>
      <c r="J298" s="16">
        <f t="shared" ca="1" si="44"/>
        <v>334</v>
      </c>
      <c r="K298" s="16">
        <f t="shared" ca="1" si="45"/>
        <v>270</v>
      </c>
      <c r="L298" s="16">
        <f t="shared" ca="1" si="46"/>
        <v>0</v>
      </c>
      <c r="M298" s="17">
        <f t="shared" ca="1" si="47"/>
        <v>1350</v>
      </c>
      <c r="N298" s="17">
        <f t="shared" si="48"/>
        <v>-20</v>
      </c>
      <c r="O298" s="17">
        <f t="shared" si="49"/>
        <v>-810</v>
      </c>
      <c r="P298" s="18">
        <f t="shared" ca="1" si="50"/>
        <v>0</v>
      </c>
      <c r="Q298" s="18">
        <f t="shared" ca="1" si="51"/>
        <v>0</v>
      </c>
      <c r="R298" s="19">
        <f t="shared" ca="1" si="52"/>
        <v>520</v>
      </c>
      <c r="S298" s="15">
        <f t="shared" ca="1" si="53"/>
        <v>0</v>
      </c>
    </row>
    <row r="299" spans="9:19">
      <c r="I299" s="15">
        <f t="shared" si="54"/>
        <v>295</v>
      </c>
      <c r="J299" s="16">
        <f t="shared" ca="1" si="44"/>
        <v>291</v>
      </c>
      <c r="K299" s="16">
        <f t="shared" ca="1" si="45"/>
        <v>270</v>
      </c>
      <c r="L299" s="16">
        <f t="shared" ca="1" si="46"/>
        <v>0</v>
      </c>
      <c r="M299" s="17">
        <f t="shared" ca="1" si="47"/>
        <v>1350</v>
      </c>
      <c r="N299" s="17">
        <f t="shared" si="48"/>
        <v>-20</v>
      </c>
      <c r="O299" s="17">
        <f t="shared" si="49"/>
        <v>-810</v>
      </c>
      <c r="P299" s="18">
        <f t="shared" ca="1" si="50"/>
        <v>0</v>
      </c>
      <c r="Q299" s="18">
        <f t="shared" ca="1" si="51"/>
        <v>0</v>
      </c>
      <c r="R299" s="19">
        <f t="shared" ca="1" si="52"/>
        <v>520</v>
      </c>
      <c r="S299" s="15">
        <f t="shared" ca="1" si="53"/>
        <v>0</v>
      </c>
    </row>
    <row r="300" spans="9:19">
      <c r="I300" s="15">
        <f t="shared" si="54"/>
        <v>296</v>
      </c>
      <c r="J300" s="16">
        <f t="shared" ca="1" si="44"/>
        <v>292</v>
      </c>
      <c r="K300" s="16">
        <f t="shared" ca="1" si="45"/>
        <v>270</v>
      </c>
      <c r="L300" s="16">
        <f t="shared" ca="1" si="46"/>
        <v>0</v>
      </c>
      <c r="M300" s="17">
        <f t="shared" ca="1" si="47"/>
        <v>1350</v>
      </c>
      <c r="N300" s="17">
        <f t="shared" si="48"/>
        <v>-20</v>
      </c>
      <c r="O300" s="17">
        <f t="shared" si="49"/>
        <v>-810</v>
      </c>
      <c r="P300" s="18">
        <f t="shared" ca="1" si="50"/>
        <v>0</v>
      </c>
      <c r="Q300" s="18">
        <f t="shared" ca="1" si="51"/>
        <v>0</v>
      </c>
      <c r="R300" s="19">
        <f t="shared" ca="1" si="52"/>
        <v>520</v>
      </c>
      <c r="S300" s="15">
        <f t="shared" ca="1" si="53"/>
        <v>0</v>
      </c>
    </row>
    <row r="301" spans="9:19">
      <c r="I301" s="15">
        <f t="shared" si="54"/>
        <v>297</v>
      </c>
      <c r="J301" s="16">
        <f t="shared" ca="1" si="44"/>
        <v>327</v>
      </c>
      <c r="K301" s="16">
        <f t="shared" ca="1" si="45"/>
        <v>270</v>
      </c>
      <c r="L301" s="16">
        <f t="shared" ca="1" si="46"/>
        <v>0</v>
      </c>
      <c r="M301" s="17">
        <f t="shared" ca="1" si="47"/>
        <v>1350</v>
      </c>
      <c r="N301" s="17">
        <f t="shared" si="48"/>
        <v>-20</v>
      </c>
      <c r="O301" s="17">
        <f t="shared" si="49"/>
        <v>-810</v>
      </c>
      <c r="P301" s="18">
        <f t="shared" ca="1" si="50"/>
        <v>0</v>
      </c>
      <c r="Q301" s="18">
        <f t="shared" ca="1" si="51"/>
        <v>0</v>
      </c>
      <c r="R301" s="19">
        <f t="shared" ca="1" si="52"/>
        <v>520</v>
      </c>
      <c r="S301" s="15">
        <f t="shared" ca="1" si="53"/>
        <v>0</v>
      </c>
    </row>
    <row r="302" spans="9:19">
      <c r="I302" s="15">
        <f t="shared" si="54"/>
        <v>298</v>
      </c>
      <c r="J302" s="16">
        <f t="shared" ca="1" si="44"/>
        <v>198</v>
      </c>
      <c r="K302" s="16">
        <f t="shared" ca="1" si="45"/>
        <v>198</v>
      </c>
      <c r="L302" s="16">
        <f t="shared" ca="1" si="46"/>
        <v>72</v>
      </c>
      <c r="M302" s="17">
        <f t="shared" ca="1" si="47"/>
        <v>990</v>
      </c>
      <c r="N302" s="17">
        <f t="shared" si="48"/>
        <v>-20</v>
      </c>
      <c r="O302" s="17">
        <f t="shared" si="49"/>
        <v>-810</v>
      </c>
      <c r="P302" s="18">
        <f t="shared" ca="1" si="50"/>
        <v>-36</v>
      </c>
      <c r="Q302" s="18">
        <f t="shared" ca="1" si="51"/>
        <v>108</v>
      </c>
      <c r="R302" s="19">
        <f t="shared" ca="1" si="52"/>
        <v>232</v>
      </c>
      <c r="S302" s="15">
        <f t="shared" ca="1" si="53"/>
        <v>0</v>
      </c>
    </row>
    <row r="303" spans="9:19">
      <c r="I303" s="15">
        <f t="shared" si="54"/>
        <v>299</v>
      </c>
      <c r="J303" s="16">
        <f t="shared" ca="1" si="44"/>
        <v>412</v>
      </c>
      <c r="K303" s="16">
        <f t="shared" ca="1" si="45"/>
        <v>270</v>
      </c>
      <c r="L303" s="16">
        <f t="shared" ca="1" si="46"/>
        <v>0</v>
      </c>
      <c r="M303" s="17">
        <f t="shared" ca="1" si="47"/>
        <v>1350</v>
      </c>
      <c r="N303" s="17">
        <f t="shared" si="48"/>
        <v>-20</v>
      </c>
      <c r="O303" s="17">
        <f t="shared" si="49"/>
        <v>-810</v>
      </c>
      <c r="P303" s="18">
        <f t="shared" ca="1" si="50"/>
        <v>0</v>
      </c>
      <c r="Q303" s="18">
        <f t="shared" ca="1" si="51"/>
        <v>0</v>
      </c>
      <c r="R303" s="19">
        <f t="shared" ca="1" si="52"/>
        <v>520</v>
      </c>
      <c r="S303" s="15">
        <f t="shared" ca="1" si="53"/>
        <v>0</v>
      </c>
    </row>
    <row r="304" spans="9:19">
      <c r="I304" s="15">
        <f t="shared" si="54"/>
        <v>300</v>
      </c>
      <c r="J304" s="16">
        <f t="shared" ca="1" si="44"/>
        <v>166</v>
      </c>
      <c r="K304" s="16">
        <f t="shared" ca="1" si="45"/>
        <v>166</v>
      </c>
      <c r="L304" s="16">
        <f t="shared" ca="1" si="46"/>
        <v>104</v>
      </c>
      <c r="M304" s="17">
        <f t="shared" ca="1" si="47"/>
        <v>830</v>
      </c>
      <c r="N304" s="17">
        <f t="shared" si="48"/>
        <v>-20</v>
      </c>
      <c r="O304" s="17">
        <f t="shared" si="49"/>
        <v>-810</v>
      </c>
      <c r="P304" s="18">
        <f t="shared" ca="1" si="50"/>
        <v>-52</v>
      </c>
      <c r="Q304" s="18">
        <f t="shared" ca="1" si="51"/>
        <v>156</v>
      </c>
      <c r="R304" s="19">
        <f t="shared" ca="1" si="52"/>
        <v>104</v>
      </c>
      <c r="S304" s="15">
        <f t="shared" ca="1" si="53"/>
        <v>0</v>
      </c>
    </row>
    <row r="305" spans="9:19">
      <c r="I305" s="15">
        <f t="shared" si="54"/>
        <v>301</v>
      </c>
      <c r="J305" s="16">
        <f t="shared" ca="1" si="44"/>
        <v>174</v>
      </c>
      <c r="K305" s="16">
        <f t="shared" ca="1" si="45"/>
        <v>174</v>
      </c>
      <c r="L305" s="16">
        <f t="shared" ca="1" si="46"/>
        <v>96</v>
      </c>
      <c r="M305" s="17">
        <f t="shared" ca="1" si="47"/>
        <v>870</v>
      </c>
      <c r="N305" s="17">
        <f t="shared" si="48"/>
        <v>-20</v>
      </c>
      <c r="O305" s="17">
        <f t="shared" si="49"/>
        <v>-810</v>
      </c>
      <c r="P305" s="18">
        <f t="shared" ca="1" si="50"/>
        <v>-48</v>
      </c>
      <c r="Q305" s="18">
        <f t="shared" ca="1" si="51"/>
        <v>144</v>
      </c>
      <c r="R305" s="19">
        <f t="shared" ca="1" si="52"/>
        <v>136</v>
      </c>
      <c r="S305" s="15">
        <f t="shared" ca="1" si="53"/>
        <v>0</v>
      </c>
    </row>
    <row r="306" spans="9:19">
      <c r="I306" s="15">
        <f t="shared" si="54"/>
        <v>302</v>
      </c>
      <c r="J306" s="16">
        <f t="shared" ca="1" si="44"/>
        <v>286</v>
      </c>
      <c r="K306" s="16">
        <f t="shared" ca="1" si="45"/>
        <v>270</v>
      </c>
      <c r="L306" s="16">
        <f t="shared" ca="1" si="46"/>
        <v>0</v>
      </c>
      <c r="M306" s="17">
        <f t="shared" ca="1" si="47"/>
        <v>1350</v>
      </c>
      <c r="N306" s="17">
        <f t="shared" si="48"/>
        <v>-20</v>
      </c>
      <c r="O306" s="17">
        <f t="shared" si="49"/>
        <v>-810</v>
      </c>
      <c r="P306" s="18">
        <f t="shared" ca="1" si="50"/>
        <v>0</v>
      </c>
      <c r="Q306" s="18">
        <f t="shared" ca="1" si="51"/>
        <v>0</v>
      </c>
      <c r="R306" s="19">
        <f t="shared" ca="1" si="52"/>
        <v>520</v>
      </c>
      <c r="S306" s="15">
        <f t="shared" ca="1" si="53"/>
        <v>0</v>
      </c>
    </row>
    <row r="307" spans="9:19">
      <c r="I307" s="15">
        <f t="shared" si="54"/>
        <v>303</v>
      </c>
      <c r="J307" s="16">
        <f t="shared" ca="1" si="44"/>
        <v>208</v>
      </c>
      <c r="K307" s="16">
        <f t="shared" ca="1" si="45"/>
        <v>208</v>
      </c>
      <c r="L307" s="16">
        <f t="shared" ca="1" si="46"/>
        <v>62</v>
      </c>
      <c r="M307" s="17">
        <f t="shared" ca="1" si="47"/>
        <v>1040</v>
      </c>
      <c r="N307" s="17">
        <f t="shared" si="48"/>
        <v>-20</v>
      </c>
      <c r="O307" s="17">
        <f t="shared" si="49"/>
        <v>-810</v>
      </c>
      <c r="P307" s="18">
        <f t="shared" ca="1" si="50"/>
        <v>-31</v>
      </c>
      <c r="Q307" s="18">
        <f t="shared" ca="1" si="51"/>
        <v>93</v>
      </c>
      <c r="R307" s="19">
        <f t="shared" ca="1" si="52"/>
        <v>272</v>
      </c>
      <c r="S307" s="15">
        <f t="shared" ca="1" si="53"/>
        <v>0</v>
      </c>
    </row>
    <row r="308" spans="9:19">
      <c r="I308" s="15">
        <f t="shared" si="54"/>
        <v>304</v>
      </c>
      <c r="J308" s="16">
        <f t="shared" ca="1" si="44"/>
        <v>125</v>
      </c>
      <c r="K308" s="16">
        <f t="shared" ca="1" si="45"/>
        <v>125</v>
      </c>
      <c r="L308" s="16">
        <f t="shared" ca="1" si="46"/>
        <v>145</v>
      </c>
      <c r="M308" s="17">
        <f t="shared" ca="1" si="47"/>
        <v>625</v>
      </c>
      <c r="N308" s="17">
        <f t="shared" si="48"/>
        <v>-20</v>
      </c>
      <c r="O308" s="17">
        <f t="shared" si="49"/>
        <v>-810</v>
      </c>
      <c r="P308" s="18">
        <f t="shared" ca="1" si="50"/>
        <v>-72.5</v>
      </c>
      <c r="Q308" s="18">
        <f t="shared" ca="1" si="51"/>
        <v>217.5</v>
      </c>
      <c r="R308" s="19">
        <f t="shared" ca="1" si="52"/>
        <v>-60</v>
      </c>
      <c r="S308" s="15">
        <f t="shared" ca="1" si="53"/>
        <v>1</v>
      </c>
    </row>
    <row r="309" spans="9:19">
      <c r="I309" s="15">
        <f t="shared" si="54"/>
        <v>305</v>
      </c>
      <c r="J309" s="16">
        <f t="shared" ca="1" si="44"/>
        <v>230</v>
      </c>
      <c r="K309" s="16">
        <f t="shared" ca="1" si="45"/>
        <v>230</v>
      </c>
      <c r="L309" s="16">
        <f t="shared" ca="1" si="46"/>
        <v>40</v>
      </c>
      <c r="M309" s="17">
        <f t="shared" ca="1" si="47"/>
        <v>1150</v>
      </c>
      <c r="N309" s="17">
        <f t="shared" si="48"/>
        <v>-20</v>
      </c>
      <c r="O309" s="17">
        <f t="shared" si="49"/>
        <v>-810</v>
      </c>
      <c r="P309" s="18">
        <f t="shared" ca="1" si="50"/>
        <v>-20</v>
      </c>
      <c r="Q309" s="18">
        <f t="shared" ca="1" si="51"/>
        <v>60</v>
      </c>
      <c r="R309" s="19">
        <f t="shared" ca="1" si="52"/>
        <v>360</v>
      </c>
      <c r="S309" s="15">
        <f t="shared" ca="1" si="53"/>
        <v>0</v>
      </c>
    </row>
    <row r="310" spans="9:19">
      <c r="I310" s="15">
        <f t="shared" si="54"/>
        <v>306</v>
      </c>
      <c r="J310" s="16">
        <f t="shared" ca="1" si="44"/>
        <v>368</v>
      </c>
      <c r="K310" s="16">
        <f t="shared" ca="1" si="45"/>
        <v>270</v>
      </c>
      <c r="L310" s="16">
        <f t="shared" ca="1" si="46"/>
        <v>0</v>
      </c>
      <c r="M310" s="17">
        <f t="shared" ca="1" si="47"/>
        <v>1350</v>
      </c>
      <c r="N310" s="17">
        <f t="shared" si="48"/>
        <v>-20</v>
      </c>
      <c r="O310" s="17">
        <f t="shared" si="49"/>
        <v>-810</v>
      </c>
      <c r="P310" s="18">
        <f t="shared" ca="1" si="50"/>
        <v>0</v>
      </c>
      <c r="Q310" s="18">
        <f t="shared" ca="1" si="51"/>
        <v>0</v>
      </c>
      <c r="R310" s="19">
        <f t="shared" ca="1" si="52"/>
        <v>520</v>
      </c>
      <c r="S310" s="15">
        <f t="shared" ca="1" si="53"/>
        <v>0</v>
      </c>
    </row>
    <row r="311" spans="9:19">
      <c r="I311" s="15">
        <f t="shared" si="54"/>
        <v>307</v>
      </c>
      <c r="J311" s="16">
        <f t="shared" ca="1" si="44"/>
        <v>382</v>
      </c>
      <c r="K311" s="16">
        <f t="shared" ca="1" si="45"/>
        <v>270</v>
      </c>
      <c r="L311" s="16">
        <f t="shared" ca="1" si="46"/>
        <v>0</v>
      </c>
      <c r="M311" s="17">
        <f t="shared" ca="1" si="47"/>
        <v>1350</v>
      </c>
      <c r="N311" s="17">
        <f t="shared" si="48"/>
        <v>-20</v>
      </c>
      <c r="O311" s="17">
        <f t="shared" si="49"/>
        <v>-810</v>
      </c>
      <c r="P311" s="18">
        <f t="shared" ca="1" si="50"/>
        <v>0</v>
      </c>
      <c r="Q311" s="18">
        <f t="shared" ca="1" si="51"/>
        <v>0</v>
      </c>
      <c r="R311" s="19">
        <f t="shared" ca="1" si="52"/>
        <v>520</v>
      </c>
      <c r="S311" s="15">
        <f t="shared" ca="1" si="53"/>
        <v>0</v>
      </c>
    </row>
    <row r="312" spans="9:19">
      <c r="I312" s="15">
        <f t="shared" si="54"/>
        <v>308</v>
      </c>
      <c r="J312" s="16">
        <f t="shared" ca="1" si="44"/>
        <v>354</v>
      </c>
      <c r="K312" s="16">
        <f t="shared" ca="1" si="45"/>
        <v>270</v>
      </c>
      <c r="L312" s="16">
        <f t="shared" ca="1" si="46"/>
        <v>0</v>
      </c>
      <c r="M312" s="17">
        <f t="shared" ca="1" si="47"/>
        <v>1350</v>
      </c>
      <c r="N312" s="17">
        <f t="shared" si="48"/>
        <v>-20</v>
      </c>
      <c r="O312" s="17">
        <f t="shared" si="49"/>
        <v>-810</v>
      </c>
      <c r="P312" s="18">
        <f t="shared" ca="1" si="50"/>
        <v>0</v>
      </c>
      <c r="Q312" s="18">
        <f t="shared" ca="1" si="51"/>
        <v>0</v>
      </c>
      <c r="R312" s="19">
        <f t="shared" ca="1" si="52"/>
        <v>520</v>
      </c>
      <c r="S312" s="15">
        <f t="shared" ca="1" si="53"/>
        <v>0</v>
      </c>
    </row>
    <row r="313" spans="9:19">
      <c r="I313" s="15">
        <f t="shared" si="54"/>
        <v>309</v>
      </c>
      <c r="J313" s="16">
        <f t="shared" ca="1" si="44"/>
        <v>178</v>
      </c>
      <c r="K313" s="16">
        <f t="shared" ca="1" si="45"/>
        <v>178</v>
      </c>
      <c r="L313" s="16">
        <f t="shared" ca="1" si="46"/>
        <v>92</v>
      </c>
      <c r="M313" s="17">
        <f t="shared" ca="1" si="47"/>
        <v>890</v>
      </c>
      <c r="N313" s="17">
        <f t="shared" si="48"/>
        <v>-20</v>
      </c>
      <c r="O313" s="17">
        <f t="shared" si="49"/>
        <v>-810</v>
      </c>
      <c r="P313" s="18">
        <f t="shared" ca="1" si="50"/>
        <v>-46</v>
      </c>
      <c r="Q313" s="18">
        <f t="shared" ca="1" si="51"/>
        <v>138</v>
      </c>
      <c r="R313" s="19">
        <f t="shared" ca="1" si="52"/>
        <v>152</v>
      </c>
      <c r="S313" s="15">
        <f t="shared" ca="1" si="53"/>
        <v>0</v>
      </c>
    </row>
    <row r="314" spans="9:19">
      <c r="I314" s="15">
        <f t="shared" si="54"/>
        <v>310</v>
      </c>
      <c r="J314" s="16">
        <f t="shared" ca="1" si="44"/>
        <v>338</v>
      </c>
      <c r="K314" s="16">
        <f t="shared" ca="1" si="45"/>
        <v>270</v>
      </c>
      <c r="L314" s="16">
        <f t="shared" ca="1" si="46"/>
        <v>0</v>
      </c>
      <c r="M314" s="17">
        <f t="shared" ca="1" si="47"/>
        <v>1350</v>
      </c>
      <c r="N314" s="17">
        <f t="shared" si="48"/>
        <v>-20</v>
      </c>
      <c r="O314" s="17">
        <f t="shared" si="49"/>
        <v>-810</v>
      </c>
      <c r="P314" s="18">
        <f t="shared" ca="1" si="50"/>
        <v>0</v>
      </c>
      <c r="Q314" s="18">
        <f t="shared" ca="1" si="51"/>
        <v>0</v>
      </c>
      <c r="R314" s="19">
        <f t="shared" ca="1" si="52"/>
        <v>520</v>
      </c>
      <c r="S314" s="15">
        <f t="shared" ca="1" si="53"/>
        <v>0</v>
      </c>
    </row>
    <row r="315" spans="9:19">
      <c r="I315" s="15">
        <f t="shared" si="54"/>
        <v>311</v>
      </c>
      <c r="J315" s="16">
        <f t="shared" ca="1" si="44"/>
        <v>195</v>
      </c>
      <c r="K315" s="16">
        <f t="shared" ca="1" si="45"/>
        <v>195</v>
      </c>
      <c r="L315" s="16">
        <f t="shared" ca="1" si="46"/>
        <v>75</v>
      </c>
      <c r="M315" s="17">
        <f t="shared" ca="1" si="47"/>
        <v>975</v>
      </c>
      <c r="N315" s="17">
        <f t="shared" si="48"/>
        <v>-20</v>
      </c>
      <c r="O315" s="17">
        <f t="shared" si="49"/>
        <v>-810</v>
      </c>
      <c r="P315" s="18">
        <f t="shared" ca="1" si="50"/>
        <v>-37.5</v>
      </c>
      <c r="Q315" s="18">
        <f t="shared" ca="1" si="51"/>
        <v>112.5</v>
      </c>
      <c r="R315" s="19">
        <f t="shared" ca="1" si="52"/>
        <v>220</v>
      </c>
      <c r="S315" s="15">
        <f t="shared" ca="1" si="53"/>
        <v>0</v>
      </c>
    </row>
    <row r="316" spans="9:19">
      <c r="I316" s="15">
        <f t="shared" si="54"/>
        <v>312</v>
      </c>
      <c r="J316" s="16">
        <f t="shared" ca="1" si="44"/>
        <v>155</v>
      </c>
      <c r="K316" s="16">
        <f t="shared" ca="1" si="45"/>
        <v>155</v>
      </c>
      <c r="L316" s="16">
        <f t="shared" ca="1" si="46"/>
        <v>115</v>
      </c>
      <c r="M316" s="17">
        <f t="shared" ca="1" si="47"/>
        <v>775</v>
      </c>
      <c r="N316" s="17">
        <f t="shared" si="48"/>
        <v>-20</v>
      </c>
      <c r="O316" s="17">
        <f t="shared" si="49"/>
        <v>-810</v>
      </c>
      <c r="P316" s="18">
        <f t="shared" ca="1" si="50"/>
        <v>-57.5</v>
      </c>
      <c r="Q316" s="18">
        <f t="shared" ca="1" si="51"/>
        <v>172.5</v>
      </c>
      <c r="R316" s="19">
        <f t="shared" ca="1" si="52"/>
        <v>60</v>
      </c>
      <c r="S316" s="15">
        <f t="shared" ca="1" si="53"/>
        <v>0</v>
      </c>
    </row>
    <row r="317" spans="9:19">
      <c r="I317" s="15">
        <f t="shared" si="54"/>
        <v>313</v>
      </c>
      <c r="J317" s="16">
        <f t="shared" ca="1" si="44"/>
        <v>340</v>
      </c>
      <c r="K317" s="16">
        <f t="shared" ca="1" si="45"/>
        <v>270</v>
      </c>
      <c r="L317" s="16">
        <f t="shared" ca="1" si="46"/>
        <v>0</v>
      </c>
      <c r="M317" s="17">
        <f t="shared" ca="1" si="47"/>
        <v>1350</v>
      </c>
      <c r="N317" s="17">
        <f t="shared" si="48"/>
        <v>-20</v>
      </c>
      <c r="O317" s="17">
        <f t="shared" si="49"/>
        <v>-810</v>
      </c>
      <c r="P317" s="18">
        <f t="shared" ca="1" si="50"/>
        <v>0</v>
      </c>
      <c r="Q317" s="18">
        <f t="shared" ca="1" si="51"/>
        <v>0</v>
      </c>
      <c r="R317" s="19">
        <f t="shared" ca="1" si="52"/>
        <v>520</v>
      </c>
      <c r="S317" s="15">
        <f t="shared" ca="1" si="53"/>
        <v>0</v>
      </c>
    </row>
    <row r="318" spans="9:19">
      <c r="I318" s="15">
        <f t="shared" si="54"/>
        <v>314</v>
      </c>
      <c r="J318" s="16">
        <f t="shared" ca="1" si="44"/>
        <v>146</v>
      </c>
      <c r="K318" s="16">
        <f t="shared" ca="1" si="45"/>
        <v>146</v>
      </c>
      <c r="L318" s="16">
        <f t="shared" ca="1" si="46"/>
        <v>124</v>
      </c>
      <c r="M318" s="17">
        <f t="shared" ca="1" si="47"/>
        <v>730</v>
      </c>
      <c r="N318" s="17">
        <f t="shared" si="48"/>
        <v>-20</v>
      </c>
      <c r="O318" s="17">
        <f t="shared" si="49"/>
        <v>-810</v>
      </c>
      <c r="P318" s="18">
        <f t="shared" ca="1" si="50"/>
        <v>-62</v>
      </c>
      <c r="Q318" s="18">
        <f t="shared" ca="1" si="51"/>
        <v>186</v>
      </c>
      <c r="R318" s="19">
        <f t="shared" ca="1" si="52"/>
        <v>24</v>
      </c>
      <c r="S318" s="15">
        <f t="shared" ca="1" si="53"/>
        <v>0</v>
      </c>
    </row>
    <row r="319" spans="9:19">
      <c r="I319" s="15">
        <f t="shared" si="54"/>
        <v>315</v>
      </c>
      <c r="J319" s="16">
        <f t="shared" ca="1" si="44"/>
        <v>360</v>
      </c>
      <c r="K319" s="16">
        <f t="shared" ca="1" si="45"/>
        <v>270</v>
      </c>
      <c r="L319" s="16">
        <f t="shared" ca="1" si="46"/>
        <v>0</v>
      </c>
      <c r="M319" s="17">
        <f t="shared" ca="1" si="47"/>
        <v>1350</v>
      </c>
      <c r="N319" s="17">
        <f t="shared" si="48"/>
        <v>-20</v>
      </c>
      <c r="O319" s="17">
        <f t="shared" si="49"/>
        <v>-810</v>
      </c>
      <c r="P319" s="18">
        <f t="shared" ca="1" si="50"/>
        <v>0</v>
      </c>
      <c r="Q319" s="18">
        <f t="shared" ca="1" si="51"/>
        <v>0</v>
      </c>
      <c r="R319" s="19">
        <f t="shared" ca="1" si="52"/>
        <v>520</v>
      </c>
      <c r="S319" s="15">
        <f t="shared" ca="1" si="53"/>
        <v>0</v>
      </c>
    </row>
    <row r="320" spans="9:19">
      <c r="I320" s="15">
        <f t="shared" si="54"/>
        <v>316</v>
      </c>
      <c r="J320" s="16">
        <f t="shared" ca="1" si="44"/>
        <v>354</v>
      </c>
      <c r="K320" s="16">
        <f t="shared" ca="1" si="45"/>
        <v>270</v>
      </c>
      <c r="L320" s="16">
        <f t="shared" ca="1" si="46"/>
        <v>0</v>
      </c>
      <c r="M320" s="17">
        <f t="shared" ca="1" si="47"/>
        <v>1350</v>
      </c>
      <c r="N320" s="17">
        <f t="shared" si="48"/>
        <v>-20</v>
      </c>
      <c r="O320" s="17">
        <f t="shared" si="49"/>
        <v>-810</v>
      </c>
      <c r="P320" s="18">
        <f t="shared" ca="1" si="50"/>
        <v>0</v>
      </c>
      <c r="Q320" s="18">
        <f t="shared" ca="1" si="51"/>
        <v>0</v>
      </c>
      <c r="R320" s="19">
        <f t="shared" ca="1" si="52"/>
        <v>520</v>
      </c>
      <c r="S320" s="15">
        <f t="shared" ca="1" si="53"/>
        <v>0</v>
      </c>
    </row>
    <row r="321" spans="9:19">
      <c r="I321" s="15">
        <f t="shared" si="54"/>
        <v>317</v>
      </c>
      <c r="J321" s="16">
        <f t="shared" ca="1" si="44"/>
        <v>123</v>
      </c>
      <c r="K321" s="16">
        <f t="shared" ca="1" si="45"/>
        <v>123</v>
      </c>
      <c r="L321" s="16">
        <f t="shared" ca="1" si="46"/>
        <v>147</v>
      </c>
      <c r="M321" s="17">
        <f t="shared" ca="1" si="47"/>
        <v>615</v>
      </c>
      <c r="N321" s="17">
        <f t="shared" si="48"/>
        <v>-20</v>
      </c>
      <c r="O321" s="17">
        <f t="shared" si="49"/>
        <v>-810</v>
      </c>
      <c r="P321" s="18">
        <f t="shared" ca="1" si="50"/>
        <v>-73.5</v>
      </c>
      <c r="Q321" s="18">
        <f t="shared" ca="1" si="51"/>
        <v>220.5</v>
      </c>
      <c r="R321" s="19">
        <f t="shared" ca="1" si="52"/>
        <v>-68</v>
      </c>
      <c r="S321" s="15">
        <f t="shared" ca="1" si="53"/>
        <v>1</v>
      </c>
    </row>
    <row r="322" spans="9:19">
      <c r="I322" s="15">
        <f t="shared" si="54"/>
        <v>318</v>
      </c>
      <c r="J322" s="16">
        <f t="shared" ca="1" si="44"/>
        <v>259</v>
      </c>
      <c r="K322" s="16">
        <f t="shared" ca="1" si="45"/>
        <v>259</v>
      </c>
      <c r="L322" s="16">
        <f t="shared" ca="1" si="46"/>
        <v>11</v>
      </c>
      <c r="M322" s="17">
        <f t="shared" ca="1" si="47"/>
        <v>1295</v>
      </c>
      <c r="N322" s="17">
        <f t="shared" si="48"/>
        <v>-20</v>
      </c>
      <c r="O322" s="17">
        <f t="shared" si="49"/>
        <v>-810</v>
      </c>
      <c r="P322" s="18">
        <f t="shared" ca="1" si="50"/>
        <v>-5.5</v>
      </c>
      <c r="Q322" s="18">
        <f t="shared" ca="1" si="51"/>
        <v>16.5</v>
      </c>
      <c r="R322" s="19">
        <f t="shared" ca="1" si="52"/>
        <v>476</v>
      </c>
      <c r="S322" s="15">
        <f t="shared" ca="1" si="53"/>
        <v>0</v>
      </c>
    </row>
    <row r="323" spans="9:19">
      <c r="I323" s="15">
        <f t="shared" si="54"/>
        <v>319</v>
      </c>
      <c r="J323" s="16">
        <f t="shared" ca="1" si="44"/>
        <v>343</v>
      </c>
      <c r="K323" s="16">
        <f t="shared" ca="1" si="45"/>
        <v>270</v>
      </c>
      <c r="L323" s="16">
        <f t="shared" ca="1" si="46"/>
        <v>0</v>
      </c>
      <c r="M323" s="17">
        <f t="shared" ca="1" si="47"/>
        <v>1350</v>
      </c>
      <c r="N323" s="17">
        <f t="shared" si="48"/>
        <v>-20</v>
      </c>
      <c r="O323" s="17">
        <f t="shared" si="49"/>
        <v>-810</v>
      </c>
      <c r="P323" s="18">
        <f t="shared" ca="1" si="50"/>
        <v>0</v>
      </c>
      <c r="Q323" s="18">
        <f t="shared" ca="1" si="51"/>
        <v>0</v>
      </c>
      <c r="R323" s="19">
        <f t="shared" ca="1" si="52"/>
        <v>520</v>
      </c>
      <c r="S323" s="15">
        <f t="shared" ca="1" si="53"/>
        <v>0</v>
      </c>
    </row>
    <row r="324" spans="9:19">
      <c r="I324" s="15">
        <f t="shared" si="54"/>
        <v>320</v>
      </c>
      <c r="J324" s="16">
        <f t="shared" ca="1" si="44"/>
        <v>226</v>
      </c>
      <c r="K324" s="16">
        <f t="shared" ca="1" si="45"/>
        <v>226</v>
      </c>
      <c r="L324" s="16">
        <f t="shared" ca="1" si="46"/>
        <v>44</v>
      </c>
      <c r="M324" s="17">
        <f t="shared" ca="1" si="47"/>
        <v>1130</v>
      </c>
      <c r="N324" s="17">
        <f t="shared" si="48"/>
        <v>-20</v>
      </c>
      <c r="O324" s="17">
        <f t="shared" si="49"/>
        <v>-810</v>
      </c>
      <c r="P324" s="18">
        <f t="shared" ca="1" si="50"/>
        <v>-22</v>
      </c>
      <c r="Q324" s="18">
        <f t="shared" ca="1" si="51"/>
        <v>66</v>
      </c>
      <c r="R324" s="19">
        <f t="shared" ca="1" si="52"/>
        <v>344</v>
      </c>
      <c r="S324" s="15">
        <f t="shared" ca="1" si="53"/>
        <v>0</v>
      </c>
    </row>
    <row r="325" spans="9:19">
      <c r="I325" s="15">
        <f t="shared" si="54"/>
        <v>321</v>
      </c>
      <c r="J325" s="16">
        <f t="shared" ca="1" si="44"/>
        <v>196</v>
      </c>
      <c r="K325" s="16">
        <f t="shared" ca="1" si="45"/>
        <v>196</v>
      </c>
      <c r="L325" s="16">
        <f t="shared" ca="1" si="46"/>
        <v>74</v>
      </c>
      <c r="M325" s="17">
        <f t="shared" ca="1" si="47"/>
        <v>980</v>
      </c>
      <c r="N325" s="17">
        <f t="shared" si="48"/>
        <v>-20</v>
      </c>
      <c r="O325" s="17">
        <f t="shared" si="49"/>
        <v>-810</v>
      </c>
      <c r="P325" s="18">
        <f t="shared" ca="1" si="50"/>
        <v>-37</v>
      </c>
      <c r="Q325" s="18">
        <f t="shared" ca="1" si="51"/>
        <v>111</v>
      </c>
      <c r="R325" s="19">
        <f t="shared" ca="1" si="52"/>
        <v>224</v>
      </c>
      <c r="S325" s="15">
        <f t="shared" ca="1" si="53"/>
        <v>0</v>
      </c>
    </row>
    <row r="326" spans="9:19">
      <c r="I326" s="15">
        <f t="shared" si="54"/>
        <v>322</v>
      </c>
      <c r="J326" s="16">
        <f t="shared" ref="J326:J389" ca="1" si="55">RANDBETWEEN(120,420)</f>
        <v>400</v>
      </c>
      <c r="K326" s="16">
        <f t="shared" ref="K326:K389" ca="1" si="56">IF(J326&gt;=$D$18,$D$18,J326)</f>
        <v>270</v>
      </c>
      <c r="L326" s="16">
        <f t="shared" ref="L326:L389" ca="1" si="57">$D$18-K326</f>
        <v>0</v>
      </c>
      <c r="M326" s="17">
        <f t="shared" ref="M326:M389" ca="1" si="58">K326*5</f>
        <v>1350</v>
      </c>
      <c r="N326" s="17">
        <f t="shared" ref="N326:N389" si="59">-$D$10</f>
        <v>-20</v>
      </c>
      <c r="O326" s="17">
        <f t="shared" ref="O326:O389" si="60">-$D$6*$D$18</f>
        <v>-810</v>
      </c>
      <c r="P326" s="18">
        <f t="shared" ref="P326:P389" ca="1" si="61">-L326*$D$9</f>
        <v>0</v>
      </c>
      <c r="Q326" s="18">
        <f t="shared" ref="Q326:Q389" ca="1" si="62">L326*($D$6*$D$8)</f>
        <v>0</v>
      </c>
      <c r="R326" s="19">
        <f t="shared" ref="R326:R389" ca="1" si="63">SUM(M326:Q326)</f>
        <v>520</v>
      </c>
      <c r="S326" s="15">
        <f t="shared" ref="S326:S389" ca="1" si="64">IF(R326&lt;0,1,0)</f>
        <v>0</v>
      </c>
    </row>
    <row r="327" spans="9:19">
      <c r="I327" s="15">
        <f t="shared" ref="I327:I390" si="65">I326+1</f>
        <v>323</v>
      </c>
      <c r="J327" s="16">
        <f t="shared" ca="1" si="55"/>
        <v>273</v>
      </c>
      <c r="K327" s="16">
        <f t="shared" ca="1" si="56"/>
        <v>270</v>
      </c>
      <c r="L327" s="16">
        <f t="shared" ca="1" si="57"/>
        <v>0</v>
      </c>
      <c r="M327" s="17">
        <f t="shared" ca="1" si="58"/>
        <v>1350</v>
      </c>
      <c r="N327" s="17">
        <f t="shared" si="59"/>
        <v>-20</v>
      </c>
      <c r="O327" s="17">
        <f t="shared" si="60"/>
        <v>-810</v>
      </c>
      <c r="P327" s="18">
        <f t="shared" ca="1" si="61"/>
        <v>0</v>
      </c>
      <c r="Q327" s="18">
        <f t="shared" ca="1" si="62"/>
        <v>0</v>
      </c>
      <c r="R327" s="19">
        <f t="shared" ca="1" si="63"/>
        <v>520</v>
      </c>
      <c r="S327" s="15">
        <f t="shared" ca="1" si="64"/>
        <v>0</v>
      </c>
    </row>
    <row r="328" spans="9:19">
      <c r="I328" s="15">
        <f t="shared" si="65"/>
        <v>324</v>
      </c>
      <c r="J328" s="16">
        <f t="shared" ca="1" si="55"/>
        <v>122</v>
      </c>
      <c r="K328" s="16">
        <f t="shared" ca="1" si="56"/>
        <v>122</v>
      </c>
      <c r="L328" s="16">
        <f t="shared" ca="1" si="57"/>
        <v>148</v>
      </c>
      <c r="M328" s="17">
        <f t="shared" ca="1" si="58"/>
        <v>610</v>
      </c>
      <c r="N328" s="17">
        <f t="shared" si="59"/>
        <v>-20</v>
      </c>
      <c r="O328" s="17">
        <f t="shared" si="60"/>
        <v>-810</v>
      </c>
      <c r="P328" s="18">
        <f t="shared" ca="1" si="61"/>
        <v>-74</v>
      </c>
      <c r="Q328" s="18">
        <f t="shared" ca="1" si="62"/>
        <v>222</v>
      </c>
      <c r="R328" s="19">
        <f t="shared" ca="1" si="63"/>
        <v>-72</v>
      </c>
      <c r="S328" s="15">
        <f t="shared" ca="1" si="64"/>
        <v>1</v>
      </c>
    </row>
    <row r="329" spans="9:19">
      <c r="I329" s="15">
        <f t="shared" si="65"/>
        <v>325</v>
      </c>
      <c r="J329" s="16">
        <f t="shared" ca="1" si="55"/>
        <v>175</v>
      </c>
      <c r="K329" s="16">
        <f t="shared" ca="1" si="56"/>
        <v>175</v>
      </c>
      <c r="L329" s="16">
        <f t="shared" ca="1" si="57"/>
        <v>95</v>
      </c>
      <c r="M329" s="17">
        <f t="shared" ca="1" si="58"/>
        <v>875</v>
      </c>
      <c r="N329" s="17">
        <f t="shared" si="59"/>
        <v>-20</v>
      </c>
      <c r="O329" s="17">
        <f t="shared" si="60"/>
        <v>-810</v>
      </c>
      <c r="P329" s="18">
        <f t="shared" ca="1" si="61"/>
        <v>-47.5</v>
      </c>
      <c r="Q329" s="18">
        <f t="shared" ca="1" si="62"/>
        <v>142.5</v>
      </c>
      <c r="R329" s="19">
        <f t="shared" ca="1" si="63"/>
        <v>140</v>
      </c>
      <c r="S329" s="15">
        <f t="shared" ca="1" si="64"/>
        <v>0</v>
      </c>
    </row>
    <row r="330" spans="9:19">
      <c r="I330" s="15">
        <f t="shared" si="65"/>
        <v>326</v>
      </c>
      <c r="J330" s="16">
        <f t="shared" ca="1" si="55"/>
        <v>392</v>
      </c>
      <c r="K330" s="16">
        <f t="shared" ca="1" si="56"/>
        <v>270</v>
      </c>
      <c r="L330" s="16">
        <f t="shared" ca="1" si="57"/>
        <v>0</v>
      </c>
      <c r="M330" s="17">
        <f t="shared" ca="1" si="58"/>
        <v>1350</v>
      </c>
      <c r="N330" s="17">
        <f t="shared" si="59"/>
        <v>-20</v>
      </c>
      <c r="O330" s="17">
        <f t="shared" si="60"/>
        <v>-810</v>
      </c>
      <c r="P330" s="18">
        <f t="shared" ca="1" si="61"/>
        <v>0</v>
      </c>
      <c r="Q330" s="18">
        <f t="shared" ca="1" si="62"/>
        <v>0</v>
      </c>
      <c r="R330" s="19">
        <f t="shared" ca="1" si="63"/>
        <v>520</v>
      </c>
      <c r="S330" s="15">
        <f t="shared" ca="1" si="64"/>
        <v>0</v>
      </c>
    </row>
    <row r="331" spans="9:19">
      <c r="I331" s="15">
        <f t="shared" si="65"/>
        <v>327</v>
      </c>
      <c r="J331" s="16">
        <f t="shared" ca="1" si="55"/>
        <v>240</v>
      </c>
      <c r="K331" s="16">
        <f t="shared" ca="1" si="56"/>
        <v>240</v>
      </c>
      <c r="L331" s="16">
        <f t="shared" ca="1" si="57"/>
        <v>30</v>
      </c>
      <c r="M331" s="17">
        <f t="shared" ca="1" si="58"/>
        <v>1200</v>
      </c>
      <c r="N331" s="17">
        <f t="shared" si="59"/>
        <v>-20</v>
      </c>
      <c r="O331" s="17">
        <f t="shared" si="60"/>
        <v>-810</v>
      </c>
      <c r="P331" s="18">
        <f t="shared" ca="1" si="61"/>
        <v>-15</v>
      </c>
      <c r="Q331" s="18">
        <f t="shared" ca="1" si="62"/>
        <v>45</v>
      </c>
      <c r="R331" s="19">
        <f t="shared" ca="1" si="63"/>
        <v>400</v>
      </c>
      <c r="S331" s="15">
        <f t="shared" ca="1" si="64"/>
        <v>0</v>
      </c>
    </row>
    <row r="332" spans="9:19">
      <c r="I332" s="15">
        <f t="shared" si="65"/>
        <v>328</v>
      </c>
      <c r="J332" s="16">
        <f t="shared" ca="1" si="55"/>
        <v>357</v>
      </c>
      <c r="K332" s="16">
        <f t="shared" ca="1" si="56"/>
        <v>270</v>
      </c>
      <c r="L332" s="16">
        <f t="shared" ca="1" si="57"/>
        <v>0</v>
      </c>
      <c r="M332" s="17">
        <f t="shared" ca="1" si="58"/>
        <v>1350</v>
      </c>
      <c r="N332" s="17">
        <f t="shared" si="59"/>
        <v>-20</v>
      </c>
      <c r="O332" s="17">
        <f t="shared" si="60"/>
        <v>-810</v>
      </c>
      <c r="P332" s="18">
        <f t="shared" ca="1" si="61"/>
        <v>0</v>
      </c>
      <c r="Q332" s="18">
        <f t="shared" ca="1" si="62"/>
        <v>0</v>
      </c>
      <c r="R332" s="19">
        <f t="shared" ca="1" si="63"/>
        <v>520</v>
      </c>
      <c r="S332" s="15">
        <f t="shared" ca="1" si="64"/>
        <v>0</v>
      </c>
    </row>
    <row r="333" spans="9:19">
      <c r="I333" s="15">
        <f t="shared" si="65"/>
        <v>329</v>
      </c>
      <c r="J333" s="16">
        <f t="shared" ca="1" si="55"/>
        <v>320</v>
      </c>
      <c r="K333" s="16">
        <f t="shared" ca="1" si="56"/>
        <v>270</v>
      </c>
      <c r="L333" s="16">
        <f t="shared" ca="1" si="57"/>
        <v>0</v>
      </c>
      <c r="M333" s="17">
        <f t="shared" ca="1" si="58"/>
        <v>1350</v>
      </c>
      <c r="N333" s="17">
        <f t="shared" si="59"/>
        <v>-20</v>
      </c>
      <c r="O333" s="17">
        <f t="shared" si="60"/>
        <v>-810</v>
      </c>
      <c r="P333" s="18">
        <f t="shared" ca="1" si="61"/>
        <v>0</v>
      </c>
      <c r="Q333" s="18">
        <f t="shared" ca="1" si="62"/>
        <v>0</v>
      </c>
      <c r="R333" s="19">
        <f t="shared" ca="1" si="63"/>
        <v>520</v>
      </c>
      <c r="S333" s="15">
        <f t="shared" ca="1" si="64"/>
        <v>0</v>
      </c>
    </row>
    <row r="334" spans="9:19">
      <c r="I334" s="15">
        <f t="shared" si="65"/>
        <v>330</v>
      </c>
      <c r="J334" s="16">
        <f t="shared" ca="1" si="55"/>
        <v>152</v>
      </c>
      <c r="K334" s="16">
        <f t="shared" ca="1" si="56"/>
        <v>152</v>
      </c>
      <c r="L334" s="16">
        <f t="shared" ca="1" si="57"/>
        <v>118</v>
      </c>
      <c r="M334" s="17">
        <f t="shared" ca="1" si="58"/>
        <v>760</v>
      </c>
      <c r="N334" s="17">
        <f t="shared" si="59"/>
        <v>-20</v>
      </c>
      <c r="O334" s="17">
        <f t="shared" si="60"/>
        <v>-810</v>
      </c>
      <c r="P334" s="18">
        <f t="shared" ca="1" si="61"/>
        <v>-59</v>
      </c>
      <c r="Q334" s="18">
        <f t="shared" ca="1" si="62"/>
        <v>177</v>
      </c>
      <c r="R334" s="19">
        <f t="shared" ca="1" si="63"/>
        <v>48</v>
      </c>
      <c r="S334" s="15">
        <f t="shared" ca="1" si="64"/>
        <v>0</v>
      </c>
    </row>
    <row r="335" spans="9:19">
      <c r="I335" s="15">
        <f t="shared" si="65"/>
        <v>331</v>
      </c>
      <c r="J335" s="16">
        <f t="shared" ca="1" si="55"/>
        <v>252</v>
      </c>
      <c r="K335" s="16">
        <f t="shared" ca="1" si="56"/>
        <v>252</v>
      </c>
      <c r="L335" s="16">
        <f t="shared" ca="1" si="57"/>
        <v>18</v>
      </c>
      <c r="M335" s="17">
        <f t="shared" ca="1" si="58"/>
        <v>1260</v>
      </c>
      <c r="N335" s="17">
        <f t="shared" si="59"/>
        <v>-20</v>
      </c>
      <c r="O335" s="17">
        <f t="shared" si="60"/>
        <v>-810</v>
      </c>
      <c r="P335" s="18">
        <f t="shared" ca="1" si="61"/>
        <v>-9</v>
      </c>
      <c r="Q335" s="18">
        <f t="shared" ca="1" si="62"/>
        <v>27</v>
      </c>
      <c r="R335" s="19">
        <f t="shared" ca="1" si="63"/>
        <v>448</v>
      </c>
      <c r="S335" s="15">
        <f t="shared" ca="1" si="64"/>
        <v>0</v>
      </c>
    </row>
    <row r="336" spans="9:19">
      <c r="I336" s="15">
        <f t="shared" si="65"/>
        <v>332</v>
      </c>
      <c r="J336" s="16">
        <f t="shared" ca="1" si="55"/>
        <v>250</v>
      </c>
      <c r="K336" s="16">
        <f t="shared" ca="1" si="56"/>
        <v>250</v>
      </c>
      <c r="L336" s="16">
        <f t="shared" ca="1" si="57"/>
        <v>20</v>
      </c>
      <c r="M336" s="17">
        <f t="shared" ca="1" si="58"/>
        <v>1250</v>
      </c>
      <c r="N336" s="17">
        <f t="shared" si="59"/>
        <v>-20</v>
      </c>
      <c r="O336" s="17">
        <f t="shared" si="60"/>
        <v>-810</v>
      </c>
      <c r="P336" s="18">
        <f t="shared" ca="1" si="61"/>
        <v>-10</v>
      </c>
      <c r="Q336" s="18">
        <f t="shared" ca="1" si="62"/>
        <v>30</v>
      </c>
      <c r="R336" s="19">
        <f t="shared" ca="1" si="63"/>
        <v>440</v>
      </c>
      <c r="S336" s="15">
        <f t="shared" ca="1" si="64"/>
        <v>0</v>
      </c>
    </row>
    <row r="337" spans="9:19">
      <c r="I337" s="15">
        <f t="shared" si="65"/>
        <v>333</v>
      </c>
      <c r="J337" s="16">
        <f t="shared" ca="1" si="55"/>
        <v>265</v>
      </c>
      <c r="K337" s="16">
        <f t="shared" ca="1" si="56"/>
        <v>265</v>
      </c>
      <c r="L337" s="16">
        <f t="shared" ca="1" si="57"/>
        <v>5</v>
      </c>
      <c r="M337" s="17">
        <f t="shared" ca="1" si="58"/>
        <v>1325</v>
      </c>
      <c r="N337" s="17">
        <f t="shared" si="59"/>
        <v>-20</v>
      </c>
      <c r="O337" s="17">
        <f t="shared" si="60"/>
        <v>-810</v>
      </c>
      <c r="P337" s="18">
        <f t="shared" ca="1" si="61"/>
        <v>-2.5</v>
      </c>
      <c r="Q337" s="18">
        <f t="shared" ca="1" si="62"/>
        <v>7.5</v>
      </c>
      <c r="R337" s="19">
        <f t="shared" ca="1" si="63"/>
        <v>500</v>
      </c>
      <c r="S337" s="15">
        <f t="shared" ca="1" si="64"/>
        <v>0</v>
      </c>
    </row>
    <row r="338" spans="9:19">
      <c r="I338" s="15">
        <f t="shared" si="65"/>
        <v>334</v>
      </c>
      <c r="J338" s="16">
        <f t="shared" ca="1" si="55"/>
        <v>401</v>
      </c>
      <c r="K338" s="16">
        <f t="shared" ca="1" si="56"/>
        <v>270</v>
      </c>
      <c r="L338" s="16">
        <f t="shared" ca="1" si="57"/>
        <v>0</v>
      </c>
      <c r="M338" s="17">
        <f t="shared" ca="1" si="58"/>
        <v>1350</v>
      </c>
      <c r="N338" s="17">
        <f t="shared" si="59"/>
        <v>-20</v>
      </c>
      <c r="O338" s="17">
        <f t="shared" si="60"/>
        <v>-810</v>
      </c>
      <c r="P338" s="18">
        <f t="shared" ca="1" si="61"/>
        <v>0</v>
      </c>
      <c r="Q338" s="18">
        <f t="shared" ca="1" si="62"/>
        <v>0</v>
      </c>
      <c r="R338" s="19">
        <f t="shared" ca="1" si="63"/>
        <v>520</v>
      </c>
      <c r="S338" s="15">
        <f t="shared" ca="1" si="64"/>
        <v>0</v>
      </c>
    </row>
    <row r="339" spans="9:19">
      <c r="I339" s="15">
        <f t="shared" si="65"/>
        <v>335</v>
      </c>
      <c r="J339" s="16">
        <f t="shared" ca="1" si="55"/>
        <v>416</v>
      </c>
      <c r="K339" s="16">
        <f t="shared" ca="1" si="56"/>
        <v>270</v>
      </c>
      <c r="L339" s="16">
        <f t="shared" ca="1" si="57"/>
        <v>0</v>
      </c>
      <c r="M339" s="17">
        <f t="shared" ca="1" si="58"/>
        <v>1350</v>
      </c>
      <c r="N339" s="17">
        <f t="shared" si="59"/>
        <v>-20</v>
      </c>
      <c r="O339" s="17">
        <f t="shared" si="60"/>
        <v>-810</v>
      </c>
      <c r="P339" s="18">
        <f t="shared" ca="1" si="61"/>
        <v>0</v>
      </c>
      <c r="Q339" s="18">
        <f t="shared" ca="1" si="62"/>
        <v>0</v>
      </c>
      <c r="R339" s="19">
        <f t="shared" ca="1" si="63"/>
        <v>520</v>
      </c>
      <c r="S339" s="15">
        <f t="shared" ca="1" si="64"/>
        <v>0</v>
      </c>
    </row>
    <row r="340" spans="9:19">
      <c r="I340" s="15">
        <f t="shared" si="65"/>
        <v>336</v>
      </c>
      <c r="J340" s="16">
        <f t="shared" ca="1" si="55"/>
        <v>206</v>
      </c>
      <c r="K340" s="16">
        <f t="shared" ca="1" si="56"/>
        <v>206</v>
      </c>
      <c r="L340" s="16">
        <f t="shared" ca="1" si="57"/>
        <v>64</v>
      </c>
      <c r="M340" s="17">
        <f t="shared" ca="1" si="58"/>
        <v>1030</v>
      </c>
      <c r="N340" s="17">
        <f t="shared" si="59"/>
        <v>-20</v>
      </c>
      <c r="O340" s="17">
        <f t="shared" si="60"/>
        <v>-810</v>
      </c>
      <c r="P340" s="18">
        <f t="shared" ca="1" si="61"/>
        <v>-32</v>
      </c>
      <c r="Q340" s="18">
        <f t="shared" ca="1" si="62"/>
        <v>96</v>
      </c>
      <c r="R340" s="19">
        <f t="shared" ca="1" si="63"/>
        <v>264</v>
      </c>
      <c r="S340" s="15">
        <f t="shared" ca="1" si="64"/>
        <v>0</v>
      </c>
    </row>
    <row r="341" spans="9:19">
      <c r="I341" s="15">
        <f t="shared" si="65"/>
        <v>337</v>
      </c>
      <c r="J341" s="16">
        <f t="shared" ca="1" si="55"/>
        <v>133</v>
      </c>
      <c r="K341" s="16">
        <f t="shared" ca="1" si="56"/>
        <v>133</v>
      </c>
      <c r="L341" s="16">
        <f t="shared" ca="1" si="57"/>
        <v>137</v>
      </c>
      <c r="M341" s="17">
        <f t="shared" ca="1" si="58"/>
        <v>665</v>
      </c>
      <c r="N341" s="17">
        <f t="shared" si="59"/>
        <v>-20</v>
      </c>
      <c r="O341" s="17">
        <f t="shared" si="60"/>
        <v>-810</v>
      </c>
      <c r="P341" s="18">
        <f t="shared" ca="1" si="61"/>
        <v>-68.5</v>
      </c>
      <c r="Q341" s="18">
        <f t="shared" ca="1" si="62"/>
        <v>205.5</v>
      </c>
      <c r="R341" s="19">
        <f t="shared" ca="1" si="63"/>
        <v>-28</v>
      </c>
      <c r="S341" s="15">
        <f t="shared" ca="1" si="64"/>
        <v>1</v>
      </c>
    </row>
    <row r="342" spans="9:19">
      <c r="I342" s="15">
        <f t="shared" si="65"/>
        <v>338</v>
      </c>
      <c r="J342" s="16">
        <f t="shared" ca="1" si="55"/>
        <v>285</v>
      </c>
      <c r="K342" s="16">
        <f t="shared" ca="1" si="56"/>
        <v>270</v>
      </c>
      <c r="L342" s="16">
        <f t="shared" ca="1" si="57"/>
        <v>0</v>
      </c>
      <c r="M342" s="17">
        <f t="shared" ca="1" si="58"/>
        <v>1350</v>
      </c>
      <c r="N342" s="17">
        <f t="shared" si="59"/>
        <v>-20</v>
      </c>
      <c r="O342" s="17">
        <f t="shared" si="60"/>
        <v>-810</v>
      </c>
      <c r="P342" s="18">
        <f t="shared" ca="1" si="61"/>
        <v>0</v>
      </c>
      <c r="Q342" s="18">
        <f t="shared" ca="1" si="62"/>
        <v>0</v>
      </c>
      <c r="R342" s="19">
        <f t="shared" ca="1" si="63"/>
        <v>520</v>
      </c>
      <c r="S342" s="15">
        <f t="shared" ca="1" si="64"/>
        <v>0</v>
      </c>
    </row>
    <row r="343" spans="9:19">
      <c r="I343" s="15">
        <f t="shared" si="65"/>
        <v>339</v>
      </c>
      <c r="J343" s="16">
        <f t="shared" ca="1" si="55"/>
        <v>233</v>
      </c>
      <c r="K343" s="16">
        <f t="shared" ca="1" si="56"/>
        <v>233</v>
      </c>
      <c r="L343" s="16">
        <f t="shared" ca="1" si="57"/>
        <v>37</v>
      </c>
      <c r="M343" s="17">
        <f t="shared" ca="1" si="58"/>
        <v>1165</v>
      </c>
      <c r="N343" s="17">
        <f t="shared" si="59"/>
        <v>-20</v>
      </c>
      <c r="O343" s="17">
        <f t="shared" si="60"/>
        <v>-810</v>
      </c>
      <c r="P343" s="18">
        <f t="shared" ca="1" si="61"/>
        <v>-18.5</v>
      </c>
      <c r="Q343" s="18">
        <f t="shared" ca="1" si="62"/>
        <v>55.5</v>
      </c>
      <c r="R343" s="19">
        <f t="shared" ca="1" si="63"/>
        <v>372</v>
      </c>
      <c r="S343" s="15">
        <f t="shared" ca="1" si="64"/>
        <v>0</v>
      </c>
    </row>
    <row r="344" spans="9:19">
      <c r="I344" s="15">
        <f t="shared" si="65"/>
        <v>340</v>
      </c>
      <c r="J344" s="16">
        <f t="shared" ca="1" si="55"/>
        <v>255</v>
      </c>
      <c r="K344" s="16">
        <f t="shared" ca="1" si="56"/>
        <v>255</v>
      </c>
      <c r="L344" s="16">
        <f t="shared" ca="1" si="57"/>
        <v>15</v>
      </c>
      <c r="M344" s="17">
        <f t="shared" ca="1" si="58"/>
        <v>1275</v>
      </c>
      <c r="N344" s="17">
        <f t="shared" si="59"/>
        <v>-20</v>
      </c>
      <c r="O344" s="17">
        <f t="shared" si="60"/>
        <v>-810</v>
      </c>
      <c r="P344" s="18">
        <f t="shared" ca="1" si="61"/>
        <v>-7.5</v>
      </c>
      <c r="Q344" s="18">
        <f t="shared" ca="1" si="62"/>
        <v>22.5</v>
      </c>
      <c r="R344" s="19">
        <f t="shared" ca="1" si="63"/>
        <v>460</v>
      </c>
      <c r="S344" s="15">
        <f t="shared" ca="1" si="64"/>
        <v>0</v>
      </c>
    </row>
    <row r="345" spans="9:19">
      <c r="I345" s="15">
        <f t="shared" si="65"/>
        <v>341</v>
      </c>
      <c r="J345" s="16">
        <f t="shared" ca="1" si="55"/>
        <v>383</v>
      </c>
      <c r="K345" s="16">
        <f t="shared" ca="1" si="56"/>
        <v>270</v>
      </c>
      <c r="L345" s="16">
        <f t="shared" ca="1" si="57"/>
        <v>0</v>
      </c>
      <c r="M345" s="17">
        <f t="shared" ca="1" si="58"/>
        <v>1350</v>
      </c>
      <c r="N345" s="17">
        <f t="shared" si="59"/>
        <v>-20</v>
      </c>
      <c r="O345" s="17">
        <f t="shared" si="60"/>
        <v>-810</v>
      </c>
      <c r="P345" s="18">
        <f t="shared" ca="1" si="61"/>
        <v>0</v>
      </c>
      <c r="Q345" s="18">
        <f t="shared" ca="1" si="62"/>
        <v>0</v>
      </c>
      <c r="R345" s="19">
        <f t="shared" ca="1" si="63"/>
        <v>520</v>
      </c>
      <c r="S345" s="15">
        <f t="shared" ca="1" si="64"/>
        <v>0</v>
      </c>
    </row>
    <row r="346" spans="9:19">
      <c r="I346" s="15">
        <f t="shared" si="65"/>
        <v>342</v>
      </c>
      <c r="J346" s="16">
        <f t="shared" ca="1" si="55"/>
        <v>264</v>
      </c>
      <c r="K346" s="16">
        <f t="shared" ca="1" si="56"/>
        <v>264</v>
      </c>
      <c r="L346" s="16">
        <f t="shared" ca="1" si="57"/>
        <v>6</v>
      </c>
      <c r="M346" s="17">
        <f t="shared" ca="1" si="58"/>
        <v>1320</v>
      </c>
      <c r="N346" s="17">
        <f t="shared" si="59"/>
        <v>-20</v>
      </c>
      <c r="O346" s="17">
        <f t="shared" si="60"/>
        <v>-810</v>
      </c>
      <c r="P346" s="18">
        <f t="shared" ca="1" si="61"/>
        <v>-3</v>
      </c>
      <c r="Q346" s="18">
        <f t="shared" ca="1" si="62"/>
        <v>9</v>
      </c>
      <c r="R346" s="19">
        <f t="shared" ca="1" si="63"/>
        <v>496</v>
      </c>
      <c r="S346" s="15">
        <f t="shared" ca="1" si="64"/>
        <v>0</v>
      </c>
    </row>
    <row r="347" spans="9:19">
      <c r="I347" s="15">
        <f t="shared" si="65"/>
        <v>343</v>
      </c>
      <c r="J347" s="16">
        <f t="shared" ca="1" si="55"/>
        <v>162</v>
      </c>
      <c r="K347" s="16">
        <f t="shared" ca="1" si="56"/>
        <v>162</v>
      </c>
      <c r="L347" s="16">
        <f t="shared" ca="1" si="57"/>
        <v>108</v>
      </c>
      <c r="M347" s="17">
        <f t="shared" ca="1" si="58"/>
        <v>810</v>
      </c>
      <c r="N347" s="17">
        <f t="shared" si="59"/>
        <v>-20</v>
      </c>
      <c r="O347" s="17">
        <f t="shared" si="60"/>
        <v>-810</v>
      </c>
      <c r="P347" s="18">
        <f t="shared" ca="1" si="61"/>
        <v>-54</v>
      </c>
      <c r="Q347" s="18">
        <f t="shared" ca="1" si="62"/>
        <v>162</v>
      </c>
      <c r="R347" s="19">
        <f t="shared" ca="1" si="63"/>
        <v>88</v>
      </c>
      <c r="S347" s="15">
        <f t="shared" ca="1" si="64"/>
        <v>0</v>
      </c>
    </row>
    <row r="348" spans="9:19">
      <c r="I348" s="15">
        <f t="shared" si="65"/>
        <v>344</v>
      </c>
      <c r="J348" s="16">
        <f t="shared" ca="1" si="55"/>
        <v>198</v>
      </c>
      <c r="K348" s="16">
        <f t="shared" ca="1" si="56"/>
        <v>198</v>
      </c>
      <c r="L348" s="16">
        <f t="shared" ca="1" si="57"/>
        <v>72</v>
      </c>
      <c r="M348" s="17">
        <f t="shared" ca="1" si="58"/>
        <v>990</v>
      </c>
      <c r="N348" s="17">
        <f t="shared" si="59"/>
        <v>-20</v>
      </c>
      <c r="O348" s="17">
        <f t="shared" si="60"/>
        <v>-810</v>
      </c>
      <c r="P348" s="18">
        <f t="shared" ca="1" si="61"/>
        <v>-36</v>
      </c>
      <c r="Q348" s="18">
        <f t="shared" ca="1" si="62"/>
        <v>108</v>
      </c>
      <c r="R348" s="19">
        <f t="shared" ca="1" si="63"/>
        <v>232</v>
      </c>
      <c r="S348" s="15">
        <f t="shared" ca="1" si="64"/>
        <v>0</v>
      </c>
    </row>
    <row r="349" spans="9:19">
      <c r="I349" s="15">
        <f t="shared" si="65"/>
        <v>345</v>
      </c>
      <c r="J349" s="16">
        <f t="shared" ca="1" si="55"/>
        <v>132</v>
      </c>
      <c r="K349" s="16">
        <f t="shared" ca="1" si="56"/>
        <v>132</v>
      </c>
      <c r="L349" s="16">
        <f t="shared" ca="1" si="57"/>
        <v>138</v>
      </c>
      <c r="M349" s="17">
        <f t="shared" ca="1" si="58"/>
        <v>660</v>
      </c>
      <c r="N349" s="17">
        <f t="shared" si="59"/>
        <v>-20</v>
      </c>
      <c r="O349" s="17">
        <f t="shared" si="60"/>
        <v>-810</v>
      </c>
      <c r="P349" s="18">
        <f t="shared" ca="1" si="61"/>
        <v>-69</v>
      </c>
      <c r="Q349" s="18">
        <f t="shared" ca="1" si="62"/>
        <v>207</v>
      </c>
      <c r="R349" s="19">
        <f t="shared" ca="1" si="63"/>
        <v>-32</v>
      </c>
      <c r="S349" s="15">
        <f t="shared" ca="1" si="64"/>
        <v>1</v>
      </c>
    </row>
    <row r="350" spans="9:19">
      <c r="I350" s="15">
        <f t="shared" si="65"/>
        <v>346</v>
      </c>
      <c r="J350" s="16">
        <f t="shared" ca="1" si="55"/>
        <v>281</v>
      </c>
      <c r="K350" s="16">
        <f t="shared" ca="1" si="56"/>
        <v>270</v>
      </c>
      <c r="L350" s="16">
        <f t="shared" ca="1" si="57"/>
        <v>0</v>
      </c>
      <c r="M350" s="17">
        <f t="shared" ca="1" si="58"/>
        <v>1350</v>
      </c>
      <c r="N350" s="17">
        <f t="shared" si="59"/>
        <v>-20</v>
      </c>
      <c r="O350" s="17">
        <f t="shared" si="60"/>
        <v>-810</v>
      </c>
      <c r="P350" s="18">
        <f t="shared" ca="1" si="61"/>
        <v>0</v>
      </c>
      <c r="Q350" s="18">
        <f t="shared" ca="1" si="62"/>
        <v>0</v>
      </c>
      <c r="R350" s="19">
        <f t="shared" ca="1" si="63"/>
        <v>520</v>
      </c>
      <c r="S350" s="15">
        <f t="shared" ca="1" si="64"/>
        <v>0</v>
      </c>
    </row>
    <row r="351" spans="9:19">
      <c r="I351" s="15">
        <f t="shared" si="65"/>
        <v>347</v>
      </c>
      <c r="J351" s="16">
        <f t="shared" ca="1" si="55"/>
        <v>292</v>
      </c>
      <c r="K351" s="16">
        <f t="shared" ca="1" si="56"/>
        <v>270</v>
      </c>
      <c r="L351" s="16">
        <f t="shared" ca="1" si="57"/>
        <v>0</v>
      </c>
      <c r="M351" s="17">
        <f t="shared" ca="1" si="58"/>
        <v>1350</v>
      </c>
      <c r="N351" s="17">
        <f t="shared" si="59"/>
        <v>-20</v>
      </c>
      <c r="O351" s="17">
        <f t="shared" si="60"/>
        <v>-810</v>
      </c>
      <c r="P351" s="18">
        <f t="shared" ca="1" si="61"/>
        <v>0</v>
      </c>
      <c r="Q351" s="18">
        <f t="shared" ca="1" si="62"/>
        <v>0</v>
      </c>
      <c r="R351" s="19">
        <f t="shared" ca="1" si="63"/>
        <v>520</v>
      </c>
      <c r="S351" s="15">
        <f t="shared" ca="1" si="64"/>
        <v>0</v>
      </c>
    </row>
    <row r="352" spans="9:19">
      <c r="I352" s="15">
        <f t="shared" si="65"/>
        <v>348</v>
      </c>
      <c r="J352" s="16">
        <f t="shared" ca="1" si="55"/>
        <v>232</v>
      </c>
      <c r="K352" s="16">
        <f t="shared" ca="1" si="56"/>
        <v>232</v>
      </c>
      <c r="L352" s="16">
        <f t="shared" ca="1" si="57"/>
        <v>38</v>
      </c>
      <c r="M352" s="17">
        <f t="shared" ca="1" si="58"/>
        <v>1160</v>
      </c>
      <c r="N352" s="17">
        <f t="shared" si="59"/>
        <v>-20</v>
      </c>
      <c r="O352" s="17">
        <f t="shared" si="60"/>
        <v>-810</v>
      </c>
      <c r="P352" s="18">
        <f t="shared" ca="1" si="61"/>
        <v>-19</v>
      </c>
      <c r="Q352" s="18">
        <f t="shared" ca="1" si="62"/>
        <v>57</v>
      </c>
      <c r="R352" s="19">
        <f t="shared" ca="1" si="63"/>
        <v>368</v>
      </c>
      <c r="S352" s="15">
        <f t="shared" ca="1" si="64"/>
        <v>0</v>
      </c>
    </row>
    <row r="353" spans="9:19">
      <c r="I353" s="15">
        <f t="shared" si="65"/>
        <v>349</v>
      </c>
      <c r="J353" s="16">
        <f t="shared" ca="1" si="55"/>
        <v>215</v>
      </c>
      <c r="K353" s="16">
        <f t="shared" ca="1" si="56"/>
        <v>215</v>
      </c>
      <c r="L353" s="16">
        <f t="shared" ca="1" si="57"/>
        <v>55</v>
      </c>
      <c r="M353" s="17">
        <f t="shared" ca="1" si="58"/>
        <v>1075</v>
      </c>
      <c r="N353" s="17">
        <f t="shared" si="59"/>
        <v>-20</v>
      </c>
      <c r="O353" s="17">
        <f t="shared" si="60"/>
        <v>-810</v>
      </c>
      <c r="P353" s="18">
        <f t="shared" ca="1" si="61"/>
        <v>-27.5</v>
      </c>
      <c r="Q353" s="18">
        <f t="shared" ca="1" si="62"/>
        <v>82.5</v>
      </c>
      <c r="R353" s="19">
        <f t="shared" ca="1" si="63"/>
        <v>300</v>
      </c>
      <c r="S353" s="15">
        <f t="shared" ca="1" si="64"/>
        <v>0</v>
      </c>
    </row>
    <row r="354" spans="9:19">
      <c r="I354" s="15">
        <f t="shared" si="65"/>
        <v>350</v>
      </c>
      <c r="J354" s="16">
        <f t="shared" ca="1" si="55"/>
        <v>341</v>
      </c>
      <c r="K354" s="16">
        <f t="shared" ca="1" si="56"/>
        <v>270</v>
      </c>
      <c r="L354" s="16">
        <f t="shared" ca="1" si="57"/>
        <v>0</v>
      </c>
      <c r="M354" s="17">
        <f t="shared" ca="1" si="58"/>
        <v>1350</v>
      </c>
      <c r="N354" s="17">
        <f t="shared" si="59"/>
        <v>-20</v>
      </c>
      <c r="O354" s="17">
        <f t="shared" si="60"/>
        <v>-810</v>
      </c>
      <c r="P354" s="18">
        <f t="shared" ca="1" si="61"/>
        <v>0</v>
      </c>
      <c r="Q354" s="18">
        <f t="shared" ca="1" si="62"/>
        <v>0</v>
      </c>
      <c r="R354" s="19">
        <f t="shared" ca="1" si="63"/>
        <v>520</v>
      </c>
      <c r="S354" s="15">
        <f t="shared" ca="1" si="64"/>
        <v>0</v>
      </c>
    </row>
    <row r="355" spans="9:19">
      <c r="I355" s="15">
        <f t="shared" si="65"/>
        <v>351</v>
      </c>
      <c r="J355" s="16">
        <f t="shared" ca="1" si="55"/>
        <v>232</v>
      </c>
      <c r="K355" s="16">
        <f t="shared" ca="1" si="56"/>
        <v>232</v>
      </c>
      <c r="L355" s="16">
        <f t="shared" ca="1" si="57"/>
        <v>38</v>
      </c>
      <c r="M355" s="17">
        <f t="shared" ca="1" si="58"/>
        <v>1160</v>
      </c>
      <c r="N355" s="17">
        <f t="shared" si="59"/>
        <v>-20</v>
      </c>
      <c r="O355" s="17">
        <f t="shared" si="60"/>
        <v>-810</v>
      </c>
      <c r="P355" s="18">
        <f t="shared" ca="1" si="61"/>
        <v>-19</v>
      </c>
      <c r="Q355" s="18">
        <f t="shared" ca="1" si="62"/>
        <v>57</v>
      </c>
      <c r="R355" s="19">
        <f t="shared" ca="1" si="63"/>
        <v>368</v>
      </c>
      <c r="S355" s="15">
        <f t="shared" ca="1" si="64"/>
        <v>0</v>
      </c>
    </row>
    <row r="356" spans="9:19">
      <c r="I356" s="15">
        <f t="shared" si="65"/>
        <v>352</v>
      </c>
      <c r="J356" s="16">
        <f t="shared" ca="1" si="55"/>
        <v>314</v>
      </c>
      <c r="K356" s="16">
        <f t="shared" ca="1" si="56"/>
        <v>270</v>
      </c>
      <c r="L356" s="16">
        <f t="shared" ca="1" si="57"/>
        <v>0</v>
      </c>
      <c r="M356" s="17">
        <f t="shared" ca="1" si="58"/>
        <v>1350</v>
      </c>
      <c r="N356" s="17">
        <f t="shared" si="59"/>
        <v>-20</v>
      </c>
      <c r="O356" s="17">
        <f t="shared" si="60"/>
        <v>-810</v>
      </c>
      <c r="P356" s="18">
        <f t="shared" ca="1" si="61"/>
        <v>0</v>
      </c>
      <c r="Q356" s="18">
        <f t="shared" ca="1" si="62"/>
        <v>0</v>
      </c>
      <c r="R356" s="19">
        <f t="shared" ca="1" si="63"/>
        <v>520</v>
      </c>
      <c r="S356" s="15">
        <f t="shared" ca="1" si="64"/>
        <v>0</v>
      </c>
    </row>
    <row r="357" spans="9:19">
      <c r="I357" s="15">
        <f t="shared" si="65"/>
        <v>353</v>
      </c>
      <c r="J357" s="16">
        <f t="shared" ca="1" si="55"/>
        <v>229</v>
      </c>
      <c r="K357" s="16">
        <f t="shared" ca="1" si="56"/>
        <v>229</v>
      </c>
      <c r="L357" s="16">
        <f t="shared" ca="1" si="57"/>
        <v>41</v>
      </c>
      <c r="M357" s="17">
        <f t="shared" ca="1" si="58"/>
        <v>1145</v>
      </c>
      <c r="N357" s="17">
        <f t="shared" si="59"/>
        <v>-20</v>
      </c>
      <c r="O357" s="17">
        <f t="shared" si="60"/>
        <v>-810</v>
      </c>
      <c r="P357" s="18">
        <f t="shared" ca="1" si="61"/>
        <v>-20.5</v>
      </c>
      <c r="Q357" s="18">
        <f t="shared" ca="1" si="62"/>
        <v>61.5</v>
      </c>
      <c r="R357" s="19">
        <f t="shared" ca="1" si="63"/>
        <v>356</v>
      </c>
      <c r="S357" s="15">
        <f t="shared" ca="1" si="64"/>
        <v>0</v>
      </c>
    </row>
    <row r="358" spans="9:19">
      <c r="I358" s="15">
        <f t="shared" si="65"/>
        <v>354</v>
      </c>
      <c r="J358" s="16">
        <f t="shared" ca="1" si="55"/>
        <v>371</v>
      </c>
      <c r="K358" s="16">
        <f t="shared" ca="1" si="56"/>
        <v>270</v>
      </c>
      <c r="L358" s="16">
        <f t="shared" ca="1" si="57"/>
        <v>0</v>
      </c>
      <c r="M358" s="17">
        <f t="shared" ca="1" si="58"/>
        <v>1350</v>
      </c>
      <c r="N358" s="17">
        <f t="shared" si="59"/>
        <v>-20</v>
      </c>
      <c r="O358" s="17">
        <f t="shared" si="60"/>
        <v>-810</v>
      </c>
      <c r="P358" s="18">
        <f t="shared" ca="1" si="61"/>
        <v>0</v>
      </c>
      <c r="Q358" s="18">
        <f t="shared" ca="1" si="62"/>
        <v>0</v>
      </c>
      <c r="R358" s="19">
        <f t="shared" ca="1" si="63"/>
        <v>520</v>
      </c>
      <c r="S358" s="15">
        <f t="shared" ca="1" si="64"/>
        <v>0</v>
      </c>
    </row>
    <row r="359" spans="9:19">
      <c r="I359" s="15">
        <f t="shared" si="65"/>
        <v>355</v>
      </c>
      <c r="J359" s="16">
        <f t="shared" ca="1" si="55"/>
        <v>286</v>
      </c>
      <c r="K359" s="16">
        <f t="shared" ca="1" si="56"/>
        <v>270</v>
      </c>
      <c r="L359" s="16">
        <f t="shared" ca="1" si="57"/>
        <v>0</v>
      </c>
      <c r="M359" s="17">
        <f t="shared" ca="1" si="58"/>
        <v>1350</v>
      </c>
      <c r="N359" s="17">
        <f t="shared" si="59"/>
        <v>-20</v>
      </c>
      <c r="O359" s="17">
        <f t="shared" si="60"/>
        <v>-810</v>
      </c>
      <c r="P359" s="18">
        <f t="shared" ca="1" si="61"/>
        <v>0</v>
      </c>
      <c r="Q359" s="18">
        <f t="shared" ca="1" si="62"/>
        <v>0</v>
      </c>
      <c r="R359" s="19">
        <f t="shared" ca="1" si="63"/>
        <v>520</v>
      </c>
      <c r="S359" s="15">
        <f t="shared" ca="1" si="64"/>
        <v>0</v>
      </c>
    </row>
    <row r="360" spans="9:19">
      <c r="I360" s="15">
        <f t="shared" si="65"/>
        <v>356</v>
      </c>
      <c r="J360" s="16">
        <f t="shared" ca="1" si="55"/>
        <v>160</v>
      </c>
      <c r="K360" s="16">
        <f t="shared" ca="1" si="56"/>
        <v>160</v>
      </c>
      <c r="L360" s="16">
        <f t="shared" ca="1" si="57"/>
        <v>110</v>
      </c>
      <c r="M360" s="17">
        <f t="shared" ca="1" si="58"/>
        <v>800</v>
      </c>
      <c r="N360" s="17">
        <f t="shared" si="59"/>
        <v>-20</v>
      </c>
      <c r="O360" s="17">
        <f t="shared" si="60"/>
        <v>-810</v>
      </c>
      <c r="P360" s="18">
        <f t="shared" ca="1" si="61"/>
        <v>-55</v>
      </c>
      <c r="Q360" s="18">
        <f t="shared" ca="1" si="62"/>
        <v>165</v>
      </c>
      <c r="R360" s="19">
        <f t="shared" ca="1" si="63"/>
        <v>80</v>
      </c>
      <c r="S360" s="15">
        <f t="shared" ca="1" si="64"/>
        <v>0</v>
      </c>
    </row>
    <row r="361" spans="9:19">
      <c r="I361" s="15">
        <f t="shared" si="65"/>
        <v>357</v>
      </c>
      <c r="J361" s="16">
        <f t="shared" ca="1" si="55"/>
        <v>315</v>
      </c>
      <c r="K361" s="16">
        <f t="shared" ca="1" si="56"/>
        <v>270</v>
      </c>
      <c r="L361" s="16">
        <f t="shared" ca="1" si="57"/>
        <v>0</v>
      </c>
      <c r="M361" s="17">
        <f t="shared" ca="1" si="58"/>
        <v>1350</v>
      </c>
      <c r="N361" s="17">
        <f t="shared" si="59"/>
        <v>-20</v>
      </c>
      <c r="O361" s="17">
        <f t="shared" si="60"/>
        <v>-810</v>
      </c>
      <c r="P361" s="18">
        <f t="shared" ca="1" si="61"/>
        <v>0</v>
      </c>
      <c r="Q361" s="18">
        <f t="shared" ca="1" si="62"/>
        <v>0</v>
      </c>
      <c r="R361" s="19">
        <f t="shared" ca="1" si="63"/>
        <v>520</v>
      </c>
      <c r="S361" s="15">
        <f t="shared" ca="1" si="64"/>
        <v>0</v>
      </c>
    </row>
    <row r="362" spans="9:19">
      <c r="I362" s="15">
        <f t="shared" si="65"/>
        <v>358</v>
      </c>
      <c r="J362" s="16">
        <f t="shared" ca="1" si="55"/>
        <v>177</v>
      </c>
      <c r="K362" s="16">
        <f t="shared" ca="1" si="56"/>
        <v>177</v>
      </c>
      <c r="L362" s="16">
        <f t="shared" ca="1" si="57"/>
        <v>93</v>
      </c>
      <c r="M362" s="17">
        <f t="shared" ca="1" si="58"/>
        <v>885</v>
      </c>
      <c r="N362" s="17">
        <f t="shared" si="59"/>
        <v>-20</v>
      </c>
      <c r="O362" s="17">
        <f t="shared" si="60"/>
        <v>-810</v>
      </c>
      <c r="P362" s="18">
        <f t="shared" ca="1" si="61"/>
        <v>-46.5</v>
      </c>
      <c r="Q362" s="18">
        <f t="shared" ca="1" si="62"/>
        <v>139.5</v>
      </c>
      <c r="R362" s="19">
        <f t="shared" ca="1" si="63"/>
        <v>148</v>
      </c>
      <c r="S362" s="15">
        <f t="shared" ca="1" si="64"/>
        <v>0</v>
      </c>
    </row>
    <row r="363" spans="9:19">
      <c r="I363" s="15">
        <f t="shared" si="65"/>
        <v>359</v>
      </c>
      <c r="J363" s="16">
        <f t="shared" ca="1" si="55"/>
        <v>128</v>
      </c>
      <c r="K363" s="16">
        <f t="shared" ca="1" si="56"/>
        <v>128</v>
      </c>
      <c r="L363" s="16">
        <f t="shared" ca="1" si="57"/>
        <v>142</v>
      </c>
      <c r="M363" s="17">
        <f t="shared" ca="1" si="58"/>
        <v>640</v>
      </c>
      <c r="N363" s="17">
        <f t="shared" si="59"/>
        <v>-20</v>
      </c>
      <c r="O363" s="17">
        <f t="shared" si="60"/>
        <v>-810</v>
      </c>
      <c r="P363" s="18">
        <f t="shared" ca="1" si="61"/>
        <v>-71</v>
      </c>
      <c r="Q363" s="18">
        <f t="shared" ca="1" si="62"/>
        <v>213</v>
      </c>
      <c r="R363" s="19">
        <f t="shared" ca="1" si="63"/>
        <v>-48</v>
      </c>
      <c r="S363" s="15">
        <f t="shared" ca="1" si="64"/>
        <v>1</v>
      </c>
    </row>
    <row r="364" spans="9:19">
      <c r="I364" s="15">
        <f t="shared" si="65"/>
        <v>360</v>
      </c>
      <c r="J364" s="16">
        <f t="shared" ca="1" si="55"/>
        <v>306</v>
      </c>
      <c r="K364" s="16">
        <f t="shared" ca="1" si="56"/>
        <v>270</v>
      </c>
      <c r="L364" s="16">
        <f t="shared" ca="1" si="57"/>
        <v>0</v>
      </c>
      <c r="M364" s="17">
        <f t="shared" ca="1" si="58"/>
        <v>1350</v>
      </c>
      <c r="N364" s="17">
        <f t="shared" si="59"/>
        <v>-20</v>
      </c>
      <c r="O364" s="17">
        <f t="shared" si="60"/>
        <v>-810</v>
      </c>
      <c r="P364" s="18">
        <f t="shared" ca="1" si="61"/>
        <v>0</v>
      </c>
      <c r="Q364" s="18">
        <f t="shared" ca="1" si="62"/>
        <v>0</v>
      </c>
      <c r="R364" s="19">
        <f t="shared" ca="1" si="63"/>
        <v>520</v>
      </c>
      <c r="S364" s="15">
        <f t="shared" ca="1" si="64"/>
        <v>0</v>
      </c>
    </row>
    <row r="365" spans="9:19">
      <c r="I365" s="15">
        <f t="shared" si="65"/>
        <v>361</v>
      </c>
      <c r="J365" s="16">
        <f t="shared" ca="1" si="55"/>
        <v>335</v>
      </c>
      <c r="K365" s="16">
        <f t="shared" ca="1" si="56"/>
        <v>270</v>
      </c>
      <c r="L365" s="16">
        <f t="shared" ca="1" si="57"/>
        <v>0</v>
      </c>
      <c r="M365" s="17">
        <f t="shared" ca="1" si="58"/>
        <v>1350</v>
      </c>
      <c r="N365" s="17">
        <f t="shared" si="59"/>
        <v>-20</v>
      </c>
      <c r="O365" s="17">
        <f t="shared" si="60"/>
        <v>-810</v>
      </c>
      <c r="P365" s="18">
        <f t="shared" ca="1" si="61"/>
        <v>0</v>
      </c>
      <c r="Q365" s="18">
        <f t="shared" ca="1" si="62"/>
        <v>0</v>
      </c>
      <c r="R365" s="19">
        <f t="shared" ca="1" si="63"/>
        <v>520</v>
      </c>
      <c r="S365" s="15">
        <f t="shared" ca="1" si="64"/>
        <v>0</v>
      </c>
    </row>
    <row r="366" spans="9:19">
      <c r="I366" s="15">
        <f t="shared" si="65"/>
        <v>362</v>
      </c>
      <c r="J366" s="16">
        <f t="shared" ca="1" si="55"/>
        <v>202</v>
      </c>
      <c r="K366" s="16">
        <f t="shared" ca="1" si="56"/>
        <v>202</v>
      </c>
      <c r="L366" s="16">
        <f t="shared" ca="1" si="57"/>
        <v>68</v>
      </c>
      <c r="M366" s="17">
        <f t="shared" ca="1" si="58"/>
        <v>1010</v>
      </c>
      <c r="N366" s="17">
        <f t="shared" si="59"/>
        <v>-20</v>
      </c>
      <c r="O366" s="17">
        <f t="shared" si="60"/>
        <v>-810</v>
      </c>
      <c r="P366" s="18">
        <f t="shared" ca="1" si="61"/>
        <v>-34</v>
      </c>
      <c r="Q366" s="18">
        <f t="shared" ca="1" si="62"/>
        <v>102</v>
      </c>
      <c r="R366" s="19">
        <f t="shared" ca="1" si="63"/>
        <v>248</v>
      </c>
      <c r="S366" s="15">
        <f t="shared" ca="1" si="64"/>
        <v>0</v>
      </c>
    </row>
    <row r="367" spans="9:19">
      <c r="I367" s="15">
        <f t="shared" si="65"/>
        <v>363</v>
      </c>
      <c r="J367" s="16">
        <f t="shared" ca="1" si="55"/>
        <v>261</v>
      </c>
      <c r="K367" s="16">
        <f t="shared" ca="1" si="56"/>
        <v>261</v>
      </c>
      <c r="L367" s="16">
        <f t="shared" ca="1" si="57"/>
        <v>9</v>
      </c>
      <c r="M367" s="17">
        <f t="shared" ca="1" si="58"/>
        <v>1305</v>
      </c>
      <c r="N367" s="17">
        <f t="shared" si="59"/>
        <v>-20</v>
      </c>
      <c r="O367" s="17">
        <f t="shared" si="60"/>
        <v>-810</v>
      </c>
      <c r="P367" s="18">
        <f t="shared" ca="1" si="61"/>
        <v>-4.5</v>
      </c>
      <c r="Q367" s="18">
        <f t="shared" ca="1" si="62"/>
        <v>13.5</v>
      </c>
      <c r="R367" s="19">
        <f t="shared" ca="1" si="63"/>
        <v>484</v>
      </c>
      <c r="S367" s="15">
        <f t="shared" ca="1" si="64"/>
        <v>0</v>
      </c>
    </row>
    <row r="368" spans="9:19">
      <c r="I368" s="15">
        <f t="shared" si="65"/>
        <v>364</v>
      </c>
      <c r="J368" s="16">
        <f t="shared" ca="1" si="55"/>
        <v>179</v>
      </c>
      <c r="K368" s="16">
        <f t="shared" ca="1" si="56"/>
        <v>179</v>
      </c>
      <c r="L368" s="16">
        <f t="shared" ca="1" si="57"/>
        <v>91</v>
      </c>
      <c r="M368" s="17">
        <f t="shared" ca="1" si="58"/>
        <v>895</v>
      </c>
      <c r="N368" s="17">
        <f t="shared" si="59"/>
        <v>-20</v>
      </c>
      <c r="O368" s="17">
        <f t="shared" si="60"/>
        <v>-810</v>
      </c>
      <c r="P368" s="18">
        <f t="shared" ca="1" si="61"/>
        <v>-45.5</v>
      </c>
      <c r="Q368" s="18">
        <f t="shared" ca="1" si="62"/>
        <v>136.5</v>
      </c>
      <c r="R368" s="19">
        <f t="shared" ca="1" si="63"/>
        <v>156</v>
      </c>
      <c r="S368" s="15">
        <f t="shared" ca="1" si="64"/>
        <v>0</v>
      </c>
    </row>
    <row r="369" spans="9:19">
      <c r="I369" s="15">
        <f t="shared" si="65"/>
        <v>365</v>
      </c>
      <c r="J369" s="16">
        <f t="shared" ca="1" si="55"/>
        <v>382</v>
      </c>
      <c r="K369" s="16">
        <f t="shared" ca="1" si="56"/>
        <v>270</v>
      </c>
      <c r="L369" s="16">
        <f t="shared" ca="1" si="57"/>
        <v>0</v>
      </c>
      <c r="M369" s="17">
        <f t="shared" ca="1" si="58"/>
        <v>1350</v>
      </c>
      <c r="N369" s="17">
        <f t="shared" si="59"/>
        <v>-20</v>
      </c>
      <c r="O369" s="17">
        <f t="shared" si="60"/>
        <v>-810</v>
      </c>
      <c r="P369" s="18">
        <f t="shared" ca="1" si="61"/>
        <v>0</v>
      </c>
      <c r="Q369" s="18">
        <f t="shared" ca="1" si="62"/>
        <v>0</v>
      </c>
      <c r="R369" s="19">
        <f t="shared" ca="1" si="63"/>
        <v>520</v>
      </c>
      <c r="S369" s="15">
        <f t="shared" ca="1" si="64"/>
        <v>0</v>
      </c>
    </row>
    <row r="370" spans="9:19">
      <c r="I370" s="15">
        <f t="shared" si="65"/>
        <v>366</v>
      </c>
      <c r="J370" s="16">
        <f t="shared" ca="1" si="55"/>
        <v>375</v>
      </c>
      <c r="K370" s="16">
        <f t="shared" ca="1" si="56"/>
        <v>270</v>
      </c>
      <c r="L370" s="16">
        <f t="shared" ca="1" si="57"/>
        <v>0</v>
      </c>
      <c r="M370" s="17">
        <f t="shared" ca="1" si="58"/>
        <v>1350</v>
      </c>
      <c r="N370" s="17">
        <f t="shared" si="59"/>
        <v>-20</v>
      </c>
      <c r="O370" s="17">
        <f t="shared" si="60"/>
        <v>-810</v>
      </c>
      <c r="P370" s="18">
        <f t="shared" ca="1" si="61"/>
        <v>0</v>
      </c>
      <c r="Q370" s="18">
        <f t="shared" ca="1" si="62"/>
        <v>0</v>
      </c>
      <c r="R370" s="19">
        <f t="shared" ca="1" si="63"/>
        <v>520</v>
      </c>
      <c r="S370" s="15">
        <f t="shared" ca="1" si="64"/>
        <v>0</v>
      </c>
    </row>
    <row r="371" spans="9:19">
      <c r="I371" s="15">
        <f t="shared" si="65"/>
        <v>367</v>
      </c>
      <c r="J371" s="16">
        <f t="shared" ca="1" si="55"/>
        <v>354</v>
      </c>
      <c r="K371" s="16">
        <f t="shared" ca="1" si="56"/>
        <v>270</v>
      </c>
      <c r="L371" s="16">
        <f t="shared" ca="1" si="57"/>
        <v>0</v>
      </c>
      <c r="M371" s="17">
        <f t="shared" ca="1" si="58"/>
        <v>1350</v>
      </c>
      <c r="N371" s="17">
        <f t="shared" si="59"/>
        <v>-20</v>
      </c>
      <c r="O371" s="17">
        <f t="shared" si="60"/>
        <v>-810</v>
      </c>
      <c r="P371" s="18">
        <f t="shared" ca="1" si="61"/>
        <v>0</v>
      </c>
      <c r="Q371" s="18">
        <f t="shared" ca="1" si="62"/>
        <v>0</v>
      </c>
      <c r="R371" s="19">
        <f t="shared" ca="1" si="63"/>
        <v>520</v>
      </c>
      <c r="S371" s="15">
        <f t="shared" ca="1" si="64"/>
        <v>0</v>
      </c>
    </row>
    <row r="372" spans="9:19">
      <c r="I372" s="15">
        <f t="shared" si="65"/>
        <v>368</v>
      </c>
      <c r="J372" s="16">
        <f t="shared" ca="1" si="55"/>
        <v>232</v>
      </c>
      <c r="K372" s="16">
        <f t="shared" ca="1" si="56"/>
        <v>232</v>
      </c>
      <c r="L372" s="16">
        <f t="shared" ca="1" si="57"/>
        <v>38</v>
      </c>
      <c r="M372" s="17">
        <f t="shared" ca="1" si="58"/>
        <v>1160</v>
      </c>
      <c r="N372" s="17">
        <f t="shared" si="59"/>
        <v>-20</v>
      </c>
      <c r="O372" s="17">
        <f t="shared" si="60"/>
        <v>-810</v>
      </c>
      <c r="P372" s="18">
        <f t="shared" ca="1" si="61"/>
        <v>-19</v>
      </c>
      <c r="Q372" s="18">
        <f t="shared" ca="1" si="62"/>
        <v>57</v>
      </c>
      <c r="R372" s="19">
        <f t="shared" ca="1" si="63"/>
        <v>368</v>
      </c>
      <c r="S372" s="15">
        <f t="shared" ca="1" si="64"/>
        <v>0</v>
      </c>
    </row>
    <row r="373" spans="9:19">
      <c r="I373" s="15">
        <f t="shared" si="65"/>
        <v>369</v>
      </c>
      <c r="J373" s="16">
        <f t="shared" ca="1" si="55"/>
        <v>212</v>
      </c>
      <c r="K373" s="16">
        <f t="shared" ca="1" si="56"/>
        <v>212</v>
      </c>
      <c r="L373" s="16">
        <f t="shared" ca="1" si="57"/>
        <v>58</v>
      </c>
      <c r="M373" s="17">
        <f t="shared" ca="1" si="58"/>
        <v>1060</v>
      </c>
      <c r="N373" s="17">
        <f t="shared" si="59"/>
        <v>-20</v>
      </c>
      <c r="O373" s="17">
        <f t="shared" si="60"/>
        <v>-810</v>
      </c>
      <c r="P373" s="18">
        <f t="shared" ca="1" si="61"/>
        <v>-29</v>
      </c>
      <c r="Q373" s="18">
        <f t="shared" ca="1" si="62"/>
        <v>87</v>
      </c>
      <c r="R373" s="19">
        <f t="shared" ca="1" si="63"/>
        <v>288</v>
      </c>
      <c r="S373" s="15">
        <f t="shared" ca="1" si="64"/>
        <v>0</v>
      </c>
    </row>
    <row r="374" spans="9:19">
      <c r="I374" s="15">
        <f t="shared" si="65"/>
        <v>370</v>
      </c>
      <c r="J374" s="16">
        <f t="shared" ca="1" si="55"/>
        <v>367</v>
      </c>
      <c r="K374" s="16">
        <f t="shared" ca="1" si="56"/>
        <v>270</v>
      </c>
      <c r="L374" s="16">
        <f t="shared" ca="1" si="57"/>
        <v>0</v>
      </c>
      <c r="M374" s="17">
        <f t="shared" ca="1" si="58"/>
        <v>1350</v>
      </c>
      <c r="N374" s="17">
        <f t="shared" si="59"/>
        <v>-20</v>
      </c>
      <c r="O374" s="17">
        <f t="shared" si="60"/>
        <v>-810</v>
      </c>
      <c r="P374" s="18">
        <f t="shared" ca="1" si="61"/>
        <v>0</v>
      </c>
      <c r="Q374" s="18">
        <f t="shared" ca="1" si="62"/>
        <v>0</v>
      </c>
      <c r="R374" s="19">
        <f t="shared" ca="1" si="63"/>
        <v>520</v>
      </c>
      <c r="S374" s="15">
        <f t="shared" ca="1" si="64"/>
        <v>0</v>
      </c>
    </row>
    <row r="375" spans="9:19">
      <c r="I375" s="15">
        <f t="shared" si="65"/>
        <v>371</v>
      </c>
      <c r="J375" s="16">
        <f t="shared" ca="1" si="55"/>
        <v>277</v>
      </c>
      <c r="K375" s="16">
        <f t="shared" ca="1" si="56"/>
        <v>270</v>
      </c>
      <c r="L375" s="16">
        <f t="shared" ca="1" si="57"/>
        <v>0</v>
      </c>
      <c r="M375" s="17">
        <f t="shared" ca="1" si="58"/>
        <v>1350</v>
      </c>
      <c r="N375" s="17">
        <f t="shared" si="59"/>
        <v>-20</v>
      </c>
      <c r="O375" s="17">
        <f t="shared" si="60"/>
        <v>-810</v>
      </c>
      <c r="P375" s="18">
        <f t="shared" ca="1" si="61"/>
        <v>0</v>
      </c>
      <c r="Q375" s="18">
        <f t="shared" ca="1" si="62"/>
        <v>0</v>
      </c>
      <c r="R375" s="19">
        <f t="shared" ca="1" si="63"/>
        <v>520</v>
      </c>
      <c r="S375" s="15">
        <f t="shared" ca="1" si="64"/>
        <v>0</v>
      </c>
    </row>
    <row r="376" spans="9:19">
      <c r="I376" s="15">
        <f t="shared" si="65"/>
        <v>372</v>
      </c>
      <c r="J376" s="16">
        <f t="shared" ca="1" si="55"/>
        <v>249</v>
      </c>
      <c r="K376" s="16">
        <f t="shared" ca="1" si="56"/>
        <v>249</v>
      </c>
      <c r="L376" s="16">
        <f t="shared" ca="1" si="57"/>
        <v>21</v>
      </c>
      <c r="M376" s="17">
        <f t="shared" ca="1" si="58"/>
        <v>1245</v>
      </c>
      <c r="N376" s="17">
        <f t="shared" si="59"/>
        <v>-20</v>
      </c>
      <c r="O376" s="17">
        <f t="shared" si="60"/>
        <v>-810</v>
      </c>
      <c r="P376" s="18">
        <f t="shared" ca="1" si="61"/>
        <v>-10.5</v>
      </c>
      <c r="Q376" s="18">
        <f t="shared" ca="1" si="62"/>
        <v>31.5</v>
      </c>
      <c r="R376" s="19">
        <f t="shared" ca="1" si="63"/>
        <v>436</v>
      </c>
      <c r="S376" s="15">
        <f t="shared" ca="1" si="64"/>
        <v>0</v>
      </c>
    </row>
    <row r="377" spans="9:19">
      <c r="I377" s="15">
        <f t="shared" si="65"/>
        <v>373</v>
      </c>
      <c r="J377" s="16">
        <f t="shared" ca="1" si="55"/>
        <v>212</v>
      </c>
      <c r="K377" s="16">
        <f t="shared" ca="1" si="56"/>
        <v>212</v>
      </c>
      <c r="L377" s="16">
        <f t="shared" ca="1" si="57"/>
        <v>58</v>
      </c>
      <c r="M377" s="17">
        <f t="shared" ca="1" si="58"/>
        <v>1060</v>
      </c>
      <c r="N377" s="17">
        <f t="shared" si="59"/>
        <v>-20</v>
      </c>
      <c r="O377" s="17">
        <f t="shared" si="60"/>
        <v>-810</v>
      </c>
      <c r="P377" s="18">
        <f t="shared" ca="1" si="61"/>
        <v>-29</v>
      </c>
      <c r="Q377" s="18">
        <f t="shared" ca="1" si="62"/>
        <v>87</v>
      </c>
      <c r="R377" s="19">
        <f t="shared" ca="1" si="63"/>
        <v>288</v>
      </c>
      <c r="S377" s="15">
        <f t="shared" ca="1" si="64"/>
        <v>0</v>
      </c>
    </row>
    <row r="378" spans="9:19">
      <c r="I378" s="15">
        <f t="shared" si="65"/>
        <v>374</v>
      </c>
      <c r="J378" s="16">
        <f t="shared" ca="1" si="55"/>
        <v>171</v>
      </c>
      <c r="K378" s="16">
        <f t="shared" ca="1" si="56"/>
        <v>171</v>
      </c>
      <c r="L378" s="16">
        <f t="shared" ca="1" si="57"/>
        <v>99</v>
      </c>
      <c r="M378" s="17">
        <f t="shared" ca="1" si="58"/>
        <v>855</v>
      </c>
      <c r="N378" s="17">
        <f t="shared" si="59"/>
        <v>-20</v>
      </c>
      <c r="O378" s="17">
        <f t="shared" si="60"/>
        <v>-810</v>
      </c>
      <c r="P378" s="18">
        <f t="shared" ca="1" si="61"/>
        <v>-49.5</v>
      </c>
      <c r="Q378" s="18">
        <f t="shared" ca="1" si="62"/>
        <v>148.5</v>
      </c>
      <c r="R378" s="19">
        <f t="shared" ca="1" si="63"/>
        <v>124</v>
      </c>
      <c r="S378" s="15">
        <f t="shared" ca="1" si="64"/>
        <v>0</v>
      </c>
    </row>
    <row r="379" spans="9:19">
      <c r="I379" s="15">
        <f t="shared" si="65"/>
        <v>375</v>
      </c>
      <c r="J379" s="16">
        <f t="shared" ca="1" si="55"/>
        <v>268</v>
      </c>
      <c r="K379" s="16">
        <f t="shared" ca="1" si="56"/>
        <v>268</v>
      </c>
      <c r="L379" s="16">
        <f t="shared" ca="1" si="57"/>
        <v>2</v>
      </c>
      <c r="M379" s="17">
        <f t="shared" ca="1" si="58"/>
        <v>1340</v>
      </c>
      <c r="N379" s="17">
        <f t="shared" si="59"/>
        <v>-20</v>
      </c>
      <c r="O379" s="17">
        <f t="shared" si="60"/>
        <v>-810</v>
      </c>
      <c r="P379" s="18">
        <f t="shared" ca="1" si="61"/>
        <v>-1</v>
      </c>
      <c r="Q379" s="18">
        <f t="shared" ca="1" si="62"/>
        <v>3</v>
      </c>
      <c r="R379" s="19">
        <f t="shared" ca="1" si="63"/>
        <v>512</v>
      </c>
      <c r="S379" s="15">
        <f t="shared" ca="1" si="64"/>
        <v>0</v>
      </c>
    </row>
    <row r="380" spans="9:19">
      <c r="I380" s="15">
        <f t="shared" si="65"/>
        <v>376</v>
      </c>
      <c r="J380" s="16">
        <f t="shared" ca="1" si="55"/>
        <v>396</v>
      </c>
      <c r="K380" s="16">
        <f t="shared" ca="1" si="56"/>
        <v>270</v>
      </c>
      <c r="L380" s="16">
        <f t="shared" ca="1" si="57"/>
        <v>0</v>
      </c>
      <c r="M380" s="17">
        <f t="shared" ca="1" si="58"/>
        <v>1350</v>
      </c>
      <c r="N380" s="17">
        <f t="shared" si="59"/>
        <v>-20</v>
      </c>
      <c r="O380" s="17">
        <f t="shared" si="60"/>
        <v>-810</v>
      </c>
      <c r="P380" s="18">
        <f t="shared" ca="1" si="61"/>
        <v>0</v>
      </c>
      <c r="Q380" s="18">
        <f t="shared" ca="1" si="62"/>
        <v>0</v>
      </c>
      <c r="R380" s="19">
        <f t="shared" ca="1" si="63"/>
        <v>520</v>
      </c>
      <c r="S380" s="15">
        <f t="shared" ca="1" si="64"/>
        <v>0</v>
      </c>
    </row>
    <row r="381" spans="9:19">
      <c r="I381" s="15">
        <f t="shared" si="65"/>
        <v>377</v>
      </c>
      <c r="J381" s="16">
        <f t="shared" ca="1" si="55"/>
        <v>203</v>
      </c>
      <c r="K381" s="16">
        <f t="shared" ca="1" si="56"/>
        <v>203</v>
      </c>
      <c r="L381" s="16">
        <f t="shared" ca="1" si="57"/>
        <v>67</v>
      </c>
      <c r="M381" s="17">
        <f t="shared" ca="1" si="58"/>
        <v>1015</v>
      </c>
      <c r="N381" s="17">
        <f t="shared" si="59"/>
        <v>-20</v>
      </c>
      <c r="O381" s="17">
        <f t="shared" si="60"/>
        <v>-810</v>
      </c>
      <c r="P381" s="18">
        <f t="shared" ca="1" si="61"/>
        <v>-33.5</v>
      </c>
      <c r="Q381" s="18">
        <f t="shared" ca="1" si="62"/>
        <v>100.5</v>
      </c>
      <c r="R381" s="19">
        <f t="shared" ca="1" si="63"/>
        <v>252</v>
      </c>
      <c r="S381" s="15">
        <f t="shared" ca="1" si="64"/>
        <v>0</v>
      </c>
    </row>
    <row r="382" spans="9:19">
      <c r="I382" s="15">
        <f t="shared" si="65"/>
        <v>378</v>
      </c>
      <c r="J382" s="16">
        <f t="shared" ca="1" si="55"/>
        <v>166</v>
      </c>
      <c r="K382" s="16">
        <f t="shared" ca="1" si="56"/>
        <v>166</v>
      </c>
      <c r="L382" s="16">
        <f t="shared" ca="1" si="57"/>
        <v>104</v>
      </c>
      <c r="M382" s="17">
        <f t="shared" ca="1" si="58"/>
        <v>830</v>
      </c>
      <c r="N382" s="17">
        <f t="shared" si="59"/>
        <v>-20</v>
      </c>
      <c r="O382" s="17">
        <f t="shared" si="60"/>
        <v>-810</v>
      </c>
      <c r="P382" s="18">
        <f t="shared" ca="1" si="61"/>
        <v>-52</v>
      </c>
      <c r="Q382" s="18">
        <f t="shared" ca="1" si="62"/>
        <v>156</v>
      </c>
      <c r="R382" s="19">
        <f t="shared" ca="1" si="63"/>
        <v>104</v>
      </c>
      <c r="S382" s="15">
        <f t="shared" ca="1" si="64"/>
        <v>0</v>
      </c>
    </row>
    <row r="383" spans="9:19">
      <c r="I383" s="15">
        <f t="shared" si="65"/>
        <v>379</v>
      </c>
      <c r="J383" s="16">
        <f t="shared" ca="1" si="55"/>
        <v>418</v>
      </c>
      <c r="K383" s="16">
        <f t="shared" ca="1" si="56"/>
        <v>270</v>
      </c>
      <c r="L383" s="16">
        <f t="shared" ca="1" si="57"/>
        <v>0</v>
      </c>
      <c r="M383" s="17">
        <f t="shared" ca="1" si="58"/>
        <v>1350</v>
      </c>
      <c r="N383" s="17">
        <f t="shared" si="59"/>
        <v>-20</v>
      </c>
      <c r="O383" s="17">
        <f t="shared" si="60"/>
        <v>-810</v>
      </c>
      <c r="P383" s="18">
        <f t="shared" ca="1" si="61"/>
        <v>0</v>
      </c>
      <c r="Q383" s="18">
        <f t="shared" ca="1" si="62"/>
        <v>0</v>
      </c>
      <c r="R383" s="19">
        <f t="shared" ca="1" si="63"/>
        <v>520</v>
      </c>
      <c r="S383" s="15">
        <f t="shared" ca="1" si="64"/>
        <v>0</v>
      </c>
    </row>
    <row r="384" spans="9:19">
      <c r="I384" s="15">
        <f t="shared" si="65"/>
        <v>380</v>
      </c>
      <c r="J384" s="16">
        <f t="shared" ca="1" si="55"/>
        <v>395</v>
      </c>
      <c r="K384" s="16">
        <f t="shared" ca="1" si="56"/>
        <v>270</v>
      </c>
      <c r="L384" s="16">
        <f t="shared" ca="1" si="57"/>
        <v>0</v>
      </c>
      <c r="M384" s="17">
        <f t="shared" ca="1" si="58"/>
        <v>1350</v>
      </c>
      <c r="N384" s="17">
        <f t="shared" si="59"/>
        <v>-20</v>
      </c>
      <c r="O384" s="17">
        <f t="shared" si="60"/>
        <v>-810</v>
      </c>
      <c r="P384" s="18">
        <f t="shared" ca="1" si="61"/>
        <v>0</v>
      </c>
      <c r="Q384" s="18">
        <f t="shared" ca="1" si="62"/>
        <v>0</v>
      </c>
      <c r="R384" s="19">
        <f t="shared" ca="1" si="63"/>
        <v>520</v>
      </c>
      <c r="S384" s="15">
        <f t="shared" ca="1" si="64"/>
        <v>0</v>
      </c>
    </row>
    <row r="385" spans="9:19">
      <c r="I385" s="15">
        <f t="shared" si="65"/>
        <v>381</v>
      </c>
      <c r="J385" s="16">
        <f t="shared" ca="1" si="55"/>
        <v>239</v>
      </c>
      <c r="K385" s="16">
        <f t="shared" ca="1" si="56"/>
        <v>239</v>
      </c>
      <c r="L385" s="16">
        <f t="shared" ca="1" si="57"/>
        <v>31</v>
      </c>
      <c r="M385" s="17">
        <f t="shared" ca="1" si="58"/>
        <v>1195</v>
      </c>
      <c r="N385" s="17">
        <f t="shared" si="59"/>
        <v>-20</v>
      </c>
      <c r="O385" s="17">
        <f t="shared" si="60"/>
        <v>-810</v>
      </c>
      <c r="P385" s="18">
        <f t="shared" ca="1" si="61"/>
        <v>-15.5</v>
      </c>
      <c r="Q385" s="18">
        <f t="shared" ca="1" si="62"/>
        <v>46.5</v>
      </c>
      <c r="R385" s="19">
        <f t="shared" ca="1" si="63"/>
        <v>396</v>
      </c>
      <c r="S385" s="15">
        <f t="shared" ca="1" si="64"/>
        <v>0</v>
      </c>
    </row>
    <row r="386" spans="9:19">
      <c r="I386" s="15">
        <f t="shared" si="65"/>
        <v>382</v>
      </c>
      <c r="J386" s="16">
        <f t="shared" ca="1" si="55"/>
        <v>392</v>
      </c>
      <c r="K386" s="16">
        <f t="shared" ca="1" si="56"/>
        <v>270</v>
      </c>
      <c r="L386" s="16">
        <f t="shared" ca="1" si="57"/>
        <v>0</v>
      </c>
      <c r="M386" s="17">
        <f t="shared" ca="1" si="58"/>
        <v>1350</v>
      </c>
      <c r="N386" s="17">
        <f t="shared" si="59"/>
        <v>-20</v>
      </c>
      <c r="O386" s="17">
        <f t="shared" si="60"/>
        <v>-810</v>
      </c>
      <c r="P386" s="18">
        <f t="shared" ca="1" si="61"/>
        <v>0</v>
      </c>
      <c r="Q386" s="18">
        <f t="shared" ca="1" si="62"/>
        <v>0</v>
      </c>
      <c r="R386" s="19">
        <f t="shared" ca="1" si="63"/>
        <v>520</v>
      </c>
      <c r="S386" s="15">
        <f t="shared" ca="1" si="64"/>
        <v>0</v>
      </c>
    </row>
    <row r="387" spans="9:19">
      <c r="I387" s="15">
        <f t="shared" si="65"/>
        <v>383</v>
      </c>
      <c r="J387" s="16">
        <f t="shared" ca="1" si="55"/>
        <v>240</v>
      </c>
      <c r="K387" s="16">
        <f t="shared" ca="1" si="56"/>
        <v>240</v>
      </c>
      <c r="L387" s="16">
        <f t="shared" ca="1" si="57"/>
        <v>30</v>
      </c>
      <c r="M387" s="17">
        <f t="shared" ca="1" si="58"/>
        <v>1200</v>
      </c>
      <c r="N387" s="17">
        <f t="shared" si="59"/>
        <v>-20</v>
      </c>
      <c r="O387" s="17">
        <f t="shared" si="60"/>
        <v>-810</v>
      </c>
      <c r="P387" s="18">
        <f t="shared" ca="1" si="61"/>
        <v>-15</v>
      </c>
      <c r="Q387" s="18">
        <f t="shared" ca="1" si="62"/>
        <v>45</v>
      </c>
      <c r="R387" s="19">
        <f t="shared" ca="1" si="63"/>
        <v>400</v>
      </c>
      <c r="S387" s="15">
        <f t="shared" ca="1" si="64"/>
        <v>0</v>
      </c>
    </row>
    <row r="388" spans="9:19">
      <c r="I388" s="15">
        <f t="shared" si="65"/>
        <v>384</v>
      </c>
      <c r="J388" s="16">
        <f t="shared" ca="1" si="55"/>
        <v>352</v>
      </c>
      <c r="K388" s="16">
        <f t="shared" ca="1" si="56"/>
        <v>270</v>
      </c>
      <c r="L388" s="16">
        <f t="shared" ca="1" si="57"/>
        <v>0</v>
      </c>
      <c r="M388" s="17">
        <f t="shared" ca="1" si="58"/>
        <v>1350</v>
      </c>
      <c r="N388" s="17">
        <f t="shared" si="59"/>
        <v>-20</v>
      </c>
      <c r="O388" s="17">
        <f t="shared" si="60"/>
        <v>-810</v>
      </c>
      <c r="P388" s="18">
        <f t="shared" ca="1" si="61"/>
        <v>0</v>
      </c>
      <c r="Q388" s="18">
        <f t="shared" ca="1" si="62"/>
        <v>0</v>
      </c>
      <c r="R388" s="19">
        <f t="shared" ca="1" si="63"/>
        <v>520</v>
      </c>
      <c r="S388" s="15">
        <f t="shared" ca="1" si="64"/>
        <v>0</v>
      </c>
    </row>
    <row r="389" spans="9:19">
      <c r="I389" s="15">
        <f t="shared" si="65"/>
        <v>385</v>
      </c>
      <c r="J389" s="16">
        <f t="shared" ca="1" si="55"/>
        <v>250</v>
      </c>
      <c r="K389" s="16">
        <f t="shared" ca="1" si="56"/>
        <v>250</v>
      </c>
      <c r="L389" s="16">
        <f t="shared" ca="1" si="57"/>
        <v>20</v>
      </c>
      <c r="M389" s="17">
        <f t="shared" ca="1" si="58"/>
        <v>1250</v>
      </c>
      <c r="N389" s="17">
        <f t="shared" si="59"/>
        <v>-20</v>
      </c>
      <c r="O389" s="17">
        <f t="shared" si="60"/>
        <v>-810</v>
      </c>
      <c r="P389" s="18">
        <f t="shared" ca="1" si="61"/>
        <v>-10</v>
      </c>
      <c r="Q389" s="18">
        <f t="shared" ca="1" si="62"/>
        <v>30</v>
      </c>
      <c r="R389" s="19">
        <f t="shared" ca="1" si="63"/>
        <v>440</v>
      </c>
      <c r="S389" s="15">
        <f t="shared" ca="1" si="64"/>
        <v>0</v>
      </c>
    </row>
    <row r="390" spans="9:19">
      <c r="I390" s="15">
        <f t="shared" si="65"/>
        <v>386</v>
      </c>
      <c r="J390" s="16">
        <f t="shared" ref="J390:J453" ca="1" si="66">RANDBETWEEN(120,420)</f>
        <v>187</v>
      </c>
      <c r="K390" s="16">
        <f t="shared" ref="K390:K453" ca="1" si="67">IF(J390&gt;=$D$18,$D$18,J390)</f>
        <v>187</v>
      </c>
      <c r="L390" s="16">
        <f t="shared" ref="L390:L453" ca="1" si="68">$D$18-K390</f>
        <v>83</v>
      </c>
      <c r="M390" s="17">
        <f t="shared" ref="M390:M453" ca="1" si="69">K390*5</f>
        <v>935</v>
      </c>
      <c r="N390" s="17">
        <f t="shared" ref="N390:N453" si="70">-$D$10</f>
        <v>-20</v>
      </c>
      <c r="O390" s="17">
        <f t="shared" ref="O390:O453" si="71">-$D$6*$D$18</f>
        <v>-810</v>
      </c>
      <c r="P390" s="18">
        <f t="shared" ref="P390:P453" ca="1" si="72">-L390*$D$9</f>
        <v>-41.5</v>
      </c>
      <c r="Q390" s="18">
        <f t="shared" ref="Q390:Q453" ca="1" si="73">L390*($D$6*$D$8)</f>
        <v>124.5</v>
      </c>
      <c r="R390" s="19">
        <f t="shared" ref="R390:R453" ca="1" si="74">SUM(M390:Q390)</f>
        <v>188</v>
      </c>
      <c r="S390" s="15">
        <f t="shared" ref="S390:S453" ca="1" si="75">IF(R390&lt;0,1,0)</f>
        <v>0</v>
      </c>
    </row>
    <row r="391" spans="9:19">
      <c r="I391" s="15">
        <f t="shared" ref="I391:I454" si="76">I390+1</f>
        <v>387</v>
      </c>
      <c r="J391" s="16">
        <f t="shared" ca="1" si="66"/>
        <v>318</v>
      </c>
      <c r="K391" s="16">
        <f t="shared" ca="1" si="67"/>
        <v>270</v>
      </c>
      <c r="L391" s="16">
        <f t="shared" ca="1" si="68"/>
        <v>0</v>
      </c>
      <c r="M391" s="17">
        <f t="shared" ca="1" si="69"/>
        <v>1350</v>
      </c>
      <c r="N391" s="17">
        <f t="shared" si="70"/>
        <v>-20</v>
      </c>
      <c r="O391" s="17">
        <f t="shared" si="71"/>
        <v>-810</v>
      </c>
      <c r="P391" s="18">
        <f t="shared" ca="1" si="72"/>
        <v>0</v>
      </c>
      <c r="Q391" s="18">
        <f t="shared" ca="1" si="73"/>
        <v>0</v>
      </c>
      <c r="R391" s="19">
        <f t="shared" ca="1" si="74"/>
        <v>520</v>
      </c>
      <c r="S391" s="15">
        <f t="shared" ca="1" si="75"/>
        <v>0</v>
      </c>
    </row>
    <row r="392" spans="9:19">
      <c r="I392" s="15">
        <f t="shared" si="76"/>
        <v>388</v>
      </c>
      <c r="J392" s="16">
        <f t="shared" ca="1" si="66"/>
        <v>238</v>
      </c>
      <c r="K392" s="16">
        <f t="shared" ca="1" si="67"/>
        <v>238</v>
      </c>
      <c r="L392" s="16">
        <f t="shared" ca="1" si="68"/>
        <v>32</v>
      </c>
      <c r="M392" s="17">
        <f t="shared" ca="1" si="69"/>
        <v>1190</v>
      </c>
      <c r="N392" s="17">
        <f t="shared" si="70"/>
        <v>-20</v>
      </c>
      <c r="O392" s="17">
        <f t="shared" si="71"/>
        <v>-810</v>
      </c>
      <c r="P392" s="18">
        <f t="shared" ca="1" si="72"/>
        <v>-16</v>
      </c>
      <c r="Q392" s="18">
        <f t="shared" ca="1" si="73"/>
        <v>48</v>
      </c>
      <c r="R392" s="19">
        <f t="shared" ca="1" si="74"/>
        <v>392</v>
      </c>
      <c r="S392" s="15">
        <f t="shared" ca="1" si="75"/>
        <v>0</v>
      </c>
    </row>
    <row r="393" spans="9:19">
      <c r="I393" s="15">
        <f t="shared" si="76"/>
        <v>389</v>
      </c>
      <c r="J393" s="16">
        <f t="shared" ca="1" si="66"/>
        <v>263</v>
      </c>
      <c r="K393" s="16">
        <f t="shared" ca="1" si="67"/>
        <v>263</v>
      </c>
      <c r="L393" s="16">
        <f t="shared" ca="1" si="68"/>
        <v>7</v>
      </c>
      <c r="M393" s="17">
        <f t="shared" ca="1" si="69"/>
        <v>1315</v>
      </c>
      <c r="N393" s="17">
        <f t="shared" si="70"/>
        <v>-20</v>
      </c>
      <c r="O393" s="17">
        <f t="shared" si="71"/>
        <v>-810</v>
      </c>
      <c r="P393" s="18">
        <f t="shared" ca="1" si="72"/>
        <v>-3.5</v>
      </c>
      <c r="Q393" s="18">
        <f t="shared" ca="1" si="73"/>
        <v>10.5</v>
      </c>
      <c r="R393" s="19">
        <f t="shared" ca="1" si="74"/>
        <v>492</v>
      </c>
      <c r="S393" s="15">
        <f t="shared" ca="1" si="75"/>
        <v>0</v>
      </c>
    </row>
    <row r="394" spans="9:19">
      <c r="I394" s="15">
        <f t="shared" si="76"/>
        <v>390</v>
      </c>
      <c r="J394" s="16">
        <f t="shared" ca="1" si="66"/>
        <v>255</v>
      </c>
      <c r="K394" s="16">
        <f t="shared" ca="1" si="67"/>
        <v>255</v>
      </c>
      <c r="L394" s="16">
        <f t="shared" ca="1" si="68"/>
        <v>15</v>
      </c>
      <c r="M394" s="17">
        <f t="shared" ca="1" si="69"/>
        <v>1275</v>
      </c>
      <c r="N394" s="17">
        <f t="shared" si="70"/>
        <v>-20</v>
      </c>
      <c r="O394" s="17">
        <f t="shared" si="71"/>
        <v>-810</v>
      </c>
      <c r="P394" s="18">
        <f t="shared" ca="1" si="72"/>
        <v>-7.5</v>
      </c>
      <c r="Q394" s="18">
        <f t="shared" ca="1" si="73"/>
        <v>22.5</v>
      </c>
      <c r="R394" s="19">
        <f t="shared" ca="1" si="74"/>
        <v>460</v>
      </c>
      <c r="S394" s="15">
        <f t="shared" ca="1" si="75"/>
        <v>0</v>
      </c>
    </row>
    <row r="395" spans="9:19">
      <c r="I395" s="15">
        <f t="shared" si="76"/>
        <v>391</v>
      </c>
      <c r="J395" s="16">
        <f t="shared" ca="1" si="66"/>
        <v>233</v>
      </c>
      <c r="K395" s="16">
        <f t="shared" ca="1" si="67"/>
        <v>233</v>
      </c>
      <c r="L395" s="16">
        <f t="shared" ca="1" si="68"/>
        <v>37</v>
      </c>
      <c r="M395" s="17">
        <f t="shared" ca="1" si="69"/>
        <v>1165</v>
      </c>
      <c r="N395" s="17">
        <f t="shared" si="70"/>
        <v>-20</v>
      </c>
      <c r="O395" s="17">
        <f t="shared" si="71"/>
        <v>-810</v>
      </c>
      <c r="P395" s="18">
        <f t="shared" ca="1" si="72"/>
        <v>-18.5</v>
      </c>
      <c r="Q395" s="18">
        <f t="shared" ca="1" si="73"/>
        <v>55.5</v>
      </c>
      <c r="R395" s="19">
        <f t="shared" ca="1" si="74"/>
        <v>372</v>
      </c>
      <c r="S395" s="15">
        <f t="shared" ca="1" si="75"/>
        <v>0</v>
      </c>
    </row>
    <row r="396" spans="9:19">
      <c r="I396" s="15">
        <f t="shared" si="76"/>
        <v>392</v>
      </c>
      <c r="J396" s="16">
        <f t="shared" ca="1" si="66"/>
        <v>341</v>
      </c>
      <c r="K396" s="16">
        <f t="shared" ca="1" si="67"/>
        <v>270</v>
      </c>
      <c r="L396" s="16">
        <f t="shared" ca="1" si="68"/>
        <v>0</v>
      </c>
      <c r="M396" s="17">
        <f t="shared" ca="1" si="69"/>
        <v>1350</v>
      </c>
      <c r="N396" s="17">
        <f t="shared" si="70"/>
        <v>-20</v>
      </c>
      <c r="O396" s="17">
        <f t="shared" si="71"/>
        <v>-810</v>
      </c>
      <c r="P396" s="18">
        <f t="shared" ca="1" si="72"/>
        <v>0</v>
      </c>
      <c r="Q396" s="18">
        <f t="shared" ca="1" si="73"/>
        <v>0</v>
      </c>
      <c r="R396" s="19">
        <f t="shared" ca="1" si="74"/>
        <v>520</v>
      </c>
      <c r="S396" s="15">
        <f t="shared" ca="1" si="75"/>
        <v>0</v>
      </c>
    </row>
    <row r="397" spans="9:19">
      <c r="I397" s="15">
        <f t="shared" si="76"/>
        <v>393</v>
      </c>
      <c r="J397" s="16">
        <f t="shared" ca="1" si="66"/>
        <v>302</v>
      </c>
      <c r="K397" s="16">
        <f t="shared" ca="1" si="67"/>
        <v>270</v>
      </c>
      <c r="L397" s="16">
        <f t="shared" ca="1" si="68"/>
        <v>0</v>
      </c>
      <c r="M397" s="17">
        <f t="shared" ca="1" si="69"/>
        <v>1350</v>
      </c>
      <c r="N397" s="17">
        <f t="shared" si="70"/>
        <v>-20</v>
      </c>
      <c r="O397" s="17">
        <f t="shared" si="71"/>
        <v>-810</v>
      </c>
      <c r="P397" s="18">
        <f t="shared" ca="1" si="72"/>
        <v>0</v>
      </c>
      <c r="Q397" s="18">
        <f t="shared" ca="1" si="73"/>
        <v>0</v>
      </c>
      <c r="R397" s="19">
        <f t="shared" ca="1" si="74"/>
        <v>520</v>
      </c>
      <c r="S397" s="15">
        <f t="shared" ca="1" si="75"/>
        <v>0</v>
      </c>
    </row>
    <row r="398" spans="9:19">
      <c r="I398" s="15">
        <f t="shared" si="76"/>
        <v>394</v>
      </c>
      <c r="J398" s="16">
        <f t="shared" ca="1" si="66"/>
        <v>167</v>
      </c>
      <c r="K398" s="16">
        <f t="shared" ca="1" si="67"/>
        <v>167</v>
      </c>
      <c r="L398" s="16">
        <f t="shared" ca="1" si="68"/>
        <v>103</v>
      </c>
      <c r="M398" s="17">
        <f t="shared" ca="1" si="69"/>
        <v>835</v>
      </c>
      <c r="N398" s="17">
        <f t="shared" si="70"/>
        <v>-20</v>
      </c>
      <c r="O398" s="17">
        <f t="shared" si="71"/>
        <v>-810</v>
      </c>
      <c r="P398" s="18">
        <f t="shared" ca="1" si="72"/>
        <v>-51.5</v>
      </c>
      <c r="Q398" s="18">
        <f t="shared" ca="1" si="73"/>
        <v>154.5</v>
      </c>
      <c r="R398" s="19">
        <f t="shared" ca="1" si="74"/>
        <v>108</v>
      </c>
      <c r="S398" s="15">
        <f t="shared" ca="1" si="75"/>
        <v>0</v>
      </c>
    </row>
    <row r="399" spans="9:19">
      <c r="I399" s="15">
        <f t="shared" si="76"/>
        <v>395</v>
      </c>
      <c r="J399" s="16">
        <f t="shared" ca="1" si="66"/>
        <v>200</v>
      </c>
      <c r="K399" s="16">
        <f t="shared" ca="1" si="67"/>
        <v>200</v>
      </c>
      <c r="L399" s="16">
        <f t="shared" ca="1" si="68"/>
        <v>70</v>
      </c>
      <c r="M399" s="17">
        <f t="shared" ca="1" si="69"/>
        <v>1000</v>
      </c>
      <c r="N399" s="17">
        <f t="shared" si="70"/>
        <v>-20</v>
      </c>
      <c r="O399" s="17">
        <f t="shared" si="71"/>
        <v>-810</v>
      </c>
      <c r="P399" s="18">
        <f t="shared" ca="1" si="72"/>
        <v>-35</v>
      </c>
      <c r="Q399" s="18">
        <f t="shared" ca="1" si="73"/>
        <v>105</v>
      </c>
      <c r="R399" s="19">
        <f t="shared" ca="1" si="74"/>
        <v>240</v>
      </c>
      <c r="S399" s="15">
        <f t="shared" ca="1" si="75"/>
        <v>0</v>
      </c>
    </row>
    <row r="400" spans="9:19">
      <c r="I400" s="15">
        <f t="shared" si="76"/>
        <v>396</v>
      </c>
      <c r="J400" s="16">
        <f t="shared" ca="1" si="66"/>
        <v>337</v>
      </c>
      <c r="K400" s="16">
        <f t="shared" ca="1" si="67"/>
        <v>270</v>
      </c>
      <c r="L400" s="16">
        <f t="shared" ca="1" si="68"/>
        <v>0</v>
      </c>
      <c r="M400" s="17">
        <f t="shared" ca="1" si="69"/>
        <v>1350</v>
      </c>
      <c r="N400" s="17">
        <f t="shared" si="70"/>
        <v>-20</v>
      </c>
      <c r="O400" s="17">
        <f t="shared" si="71"/>
        <v>-810</v>
      </c>
      <c r="P400" s="18">
        <f t="shared" ca="1" si="72"/>
        <v>0</v>
      </c>
      <c r="Q400" s="18">
        <f t="shared" ca="1" si="73"/>
        <v>0</v>
      </c>
      <c r="R400" s="19">
        <f t="shared" ca="1" si="74"/>
        <v>520</v>
      </c>
      <c r="S400" s="15">
        <f t="shared" ca="1" si="75"/>
        <v>0</v>
      </c>
    </row>
    <row r="401" spans="9:19">
      <c r="I401" s="15">
        <f t="shared" si="76"/>
        <v>397</v>
      </c>
      <c r="J401" s="16">
        <f t="shared" ca="1" si="66"/>
        <v>321</v>
      </c>
      <c r="K401" s="16">
        <f t="shared" ca="1" si="67"/>
        <v>270</v>
      </c>
      <c r="L401" s="16">
        <f t="shared" ca="1" si="68"/>
        <v>0</v>
      </c>
      <c r="M401" s="17">
        <f t="shared" ca="1" si="69"/>
        <v>1350</v>
      </c>
      <c r="N401" s="17">
        <f t="shared" si="70"/>
        <v>-20</v>
      </c>
      <c r="O401" s="17">
        <f t="shared" si="71"/>
        <v>-810</v>
      </c>
      <c r="P401" s="18">
        <f t="shared" ca="1" si="72"/>
        <v>0</v>
      </c>
      <c r="Q401" s="18">
        <f t="shared" ca="1" si="73"/>
        <v>0</v>
      </c>
      <c r="R401" s="19">
        <f t="shared" ca="1" si="74"/>
        <v>520</v>
      </c>
      <c r="S401" s="15">
        <f t="shared" ca="1" si="75"/>
        <v>0</v>
      </c>
    </row>
    <row r="402" spans="9:19">
      <c r="I402" s="15">
        <f t="shared" si="76"/>
        <v>398</v>
      </c>
      <c r="J402" s="16">
        <f t="shared" ca="1" si="66"/>
        <v>184</v>
      </c>
      <c r="K402" s="16">
        <f t="shared" ca="1" si="67"/>
        <v>184</v>
      </c>
      <c r="L402" s="16">
        <f t="shared" ca="1" si="68"/>
        <v>86</v>
      </c>
      <c r="M402" s="17">
        <f t="shared" ca="1" si="69"/>
        <v>920</v>
      </c>
      <c r="N402" s="17">
        <f t="shared" si="70"/>
        <v>-20</v>
      </c>
      <c r="O402" s="17">
        <f t="shared" si="71"/>
        <v>-810</v>
      </c>
      <c r="P402" s="18">
        <f t="shared" ca="1" si="72"/>
        <v>-43</v>
      </c>
      <c r="Q402" s="18">
        <f t="shared" ca="1" si="73"/>
        <v>129</v>
      </c>
      <c r="R402" s="19">
        <f t="shared" ca="1" si="74"/>
        <v>176</v>
      </c>
      <c r="S402" s="15">
        <f t="shared" ca="1" si="75"/>
        <v>0</v>
      </c>
    </row>
    <row r="403" spans="9:19">
      <c r="I403" s="15">
        <f t="shared" si="76"/>
        <v>399</v>
      </c>
      <c r="J403" s="16">
        <f t="shared" ca="1" si="66"/>
        <v>311</v>
      </c>
      <c r="K403" s="16">
        <f t="shared" ca="1" si="67"/>
        <v>270</v>
      </c>
      <c r="L403" s="16">
        <f t="shared" ca="1" si="68"/>
        <v>0</v>
      </c>
      <c r="M403" s="17">
        <f t="shared" ca="1" si="69"/>
        <v>1350</v>
      </c>
      <c r="N403" s="17">
        <f t="shared" si="70"/>
        <v>-20</v>
      </c>
      <c r="O403" s="17">
        <f t="shared" si="71"/>
        <v>-810</v>
      </c>
      <c r="P403" s="18">
        <f t="shared" ca="1" si="72"/>
        <v>0</v>
      </c>
      <c r="Q403" s="18">
        <f t="shared" ca="1" si="73"/>
        <v>0</v>
      </c>
      <c r="R403" s="19">
        <f t="shared" ca="1" si="74"/>
        <v>520</v>
      </c>
      <c r="S403" s="15">
        <f t="shared" ca="1" si="75"/>
        <v>0</v>
      </c>
    </row>
    <row r="404" spans="9:19">
      <c r="I404" s="15">
        <f t="shared" si="76"/>
        <v>400</v>
      </c>
      <c r="J404" s="16">
        <f t="shared" ca="1" si="66"/>
        <v>274</v>
      </c>
      <c r="K404" s="16">
        <f t="shared" ca="1" si="67"/>
        <v>270</v>
      </c>
      <c r="L404" s="16">
        <f t="shared" ca="1" si="68"/>
        <v>0</v>
      </c>
      <c r="M404" s="17">
        <f t="shared" ca="1" si="69"/>
        <v>1350</v>
      </c>
      <c r="N404" s="17">
        <f t="shared" si="70"/>
        <v>-20</v>
      </c>
      <c r="O404" s="17">
        <f t="shared" si="71"/>
        <v>-810</v>
      </c>
      <c r="P404" s="18">
        <f t="shared" ca="1" si="72"/>
        <v>0</v>
      </c>
      <c r="Q404" s="18">
        <f t="shared" ca="1" si="73"/>
        <v>0</v>
      </c>
      <c r="R404" s="19">
        <f t="shared" ca="1" si="74"/>
        <v>520</v>
      </c>
      <c r="S404" s="15">
        <f t="shared" ca="1" si="75"/>
        <v>0</v>
      </c>
    </row>
    <row r="405" spans="9:19">
      <c r="I405" s="15">
        <f t="shared" si="76"/>
        <v>401</v>
      </c>
      <c r="J405" s="16">
        <f t="shared" ca="1" si="66"/>
        <v>415</v>
      </c>
      <c r="K405" s="16">
        <f t="shared" ca="1" si="67"/>
        <v>270</v>
      </c>
      <c r="L405" s="16">
        <f t="shared" ca="1" si="68"/>
        <v>0</v>
      </c>
      <c r="M405" s="17">
        <f t="shared" ca="1" si="69"/>
        <v>1350</v>
      </c>
      <c r="N405" s="17">
        <f t="shared" si="70"/>
        <v>-20</v>
      </c>
      <c r="O405" s="17">
        <f t="shared" si="71"/>
        <v>-810</v>
      </c>
      <c r="P405" s="18">
        <f t="shared" ca="1" si="72"/>
        <v>0</v>
      </c>
      <c r="Q405" s="18">
        <f t="shared" ca="1" si="73"/>
        <v>0</v>
      </c>
      <c r="R405" s="19">
        <f t="shared" ca="1" si="74"/>
        <v>520</v>
      </c>
      <c r="S405" s="15">
        <f t="shared" ca="1" si="75"/>
        <v>0</v>
      </c>
    </row>
    <row r="406" spans="9:19">
      <c r="I406" s="15">
        <f t="shared" si="76"/>
        <v>402</v>
      </c>
      <c r="J406" s="16">
        <f t="shared" ca="1" si="66"/>
        <v>333</v>
      </c>
      <c r="K406" s="16">
        <f t="shared" ca="1" si="67"/>
        <v>270</v>
      </c>
      <c r="L406" s="16">
        <f t="shared" ca="1" si="68"/>
        <v>0</v>
      </c>
      <c r="M406" s="17">
        <f t="shared" ca="1" si="69"/>
        <v>1350</v>
      </c>
      <c r="N406" s="17">
        <f t="shared" si="70"/>
        <v>-20</v>
      </c>
      <c r="O406" s="17">
        <f t="shared" si="71"/>
        <v>-810</v>
      </c>
      <c r="P406" s="18">
        <f t="shared" ca="1" si="72"/>
        <v>0</v>
      </c>
      <c r="Q406" s="18">
        <f t="shared" ca="1" si="73"/>
        <v>0</v>
      </c>
      <c r="R406" s="19">
        <f t="shared" ca="1" si="74"/>
        <v>520</v>
      </c>
      <c r="S406" s="15">
        <f t="shared" ca="1" si="75"/>
        <v>0</v>
      </c>
    </row>
    <row r="407" spans="9:19">
      <c r="I407" s="15">
        <f t="shared" si="76"/>
        <v>403</v>
      </c>
      <c r="J407" s="16">
        <f t="shared" ca="1" si="66"/>
        <v>281</v>
      </c>
      <c r="K407" s="16">
        <f t="shared" ca="1" si="67"/>
        <v>270</v>
      </c>
      <c r="L407" s="16">
        <f t="shared" ca="1" si="68"/>
        <v>0</v>
      </c>
      <c r="M407" s="17">
        <f t="shared" ca="1" si="69"/>
        <v>1350</v>
      </c>
      <c r="N407" s="17">
        <f t="shared" si="70"/>
        <v>-20</v>
      </c>
      <c r="O407" s="17">
        <f t="shared" si="71"/>
        <v>-810</v>
      </c>
      <c r="P407" s="18">
        <f t="shared" ca="1" si="72"/>
        <v>0</v>
      </c>
      <c r="Q407" s="18">
        <f t="shared" ca="1" si="73"/>
        <v>0</v>
      </c>
      <c r="R407" s="19">
        <f t="shared" ca="1" si="74"/>
        <v>520</v>
      </c>
      <c r="S407" s="15">
        <f t="shared" ca="1" si="75"/>
        <v>0</v>
      </c>
    </row>
    <row r="408" spans="9:19">
      <c r="I408" s="15">
        <f t="shared" si="76"/>
        <v>404</v>
      </c>
      <c r="J408" s="16">
        <f t="shared" ca="1" si="66"/>
        <v>360</v>
      </c>
      <c r="K408" s="16">
        <f t="shared" ca="1" si="67"/>
        <v>270</v>
      </c>
      <c r="L408" s="16">
        <f t="shared" ca="1" si="68"/>
        <v>0</v>
      </c>
      <c r="M408" s="17">
        <f t="shared" ca="1" si="69"/>
        <v>1350</v>
      </c>
      <c r="N408" s="17">
        <f t="shared" si="70"/>
        <v>-20</v>
      </c>
      <c r="O408" s="17">
        <f t="shared" si="71"/>
        <v>-810</v>
      </c>
      <c r="P408" s="18">
        <f t="shared" ca="1" si="72"/>
        <v>0</v>
      </c>
      <c r="Q408" s="18">
        <f t="shared" ca="1" si="73"/>
        <v>0</v>
      </c>
      <c r="R408" s="19">
        <f t="shared" ca="1" si="74"/>
        <v>520</v>
      </c>
      <c r="S408" s="15">
        <f t="shared" ca="1" si="75"/>
        <v>0</v>
      </c>
    </row>
    <row r="409" spans="9:19">
      <c r="I409" s="15">
        <f t="shared" si="76"/>
        <v>405</v>
      </c>
      <c r="J409" s="16">
        <f t="shared" ca="1" si="66"/>
        <v>311</v>
      </c>
      <c r="K409" s="16">
        <f t="shared" ca="1" si="67"/>
        <v>270</v>
      </c>
      <c r="L409" s="16">
        <f t="shared" ca="1" si="68"/>
        <v>0</v>
      </c>
      <c r="M409" s="17">
        <f t="shared" ca="1" si="69"/>
        <v>1350</v>
      </c>
      <c r="N409" s="17">
        <f t="shared" si="70"/>
        <v>-20</v>
      </c>
      <c r="O409" s="17">
        <f t="shared" si="71"/>
        <v>-810</v>
      </c>
      <c r="P409" s="18">
        <f t="shared" ca="1" si="72"/>
        <v>0</v>
      </c>
      <c r="Q409" s="18">
        <f t="shared" ca="1" si="73"/>
        <v>0</v>
      </c>
      <c r="R409" s="19">
        <f t="shared" ca="1" si="74"/>
        <v>520</v>
      </c>
      <c r="S409" s="15">
        <f t="shared" ca="1" si="75"/>
        <v>0</v>
      </c>
    </row>
    <row r="410" spans="9:19">
      <c r="I410" s="15">
        <f t="shared" si="76"/>
        <v>406</v>
      </c>
      <c r="J410" s="16">
        <f t="shared" ca="1" si="66"/>
        <v>314</v>
      </c>
      <c r="K410" s="16">
        <f t="shared" ca="1" si="67"/>
        <v>270</v>
      </c>
      <c r="L410" s="16">
        <f t="shared" ca="1" si="68"/>
        <v>0</v>
      </c>
      <c r="M410" s="17">
        <f t="shared" ca="1" si="69"/>
        <v>1350</v>
      </c>
      <c r="N410" s="17">
        <f t="shared" si="70"/>
        <v>-20</v>
      </c>
      <c r="O410" s="17">
        <f t="shared" si="71"/>
        <v>-810</v>
      </c>
      <c r="P410" s="18">
        <f t="shared" ca="1" si="72"/>
        <v>0</v>
      </c>
      <c r="Q410" s="18">
        <f t="shared" ca="1" si="73"/>
        <v>0</v>
      </c>
      <c r="R410" s="19">
        <f t="shared" ca="1" si="74"/>
        <v>520</v>
      </c>
      <c r="S410" s="15">
        <f t="shared" ca="1" si="75"/>
        <v>0</v>
      </c>
    </row>
    <row r="411" spans="9:19">
      <c r="I411" s="15">
        <f t="shared" si="76"/>
        <v>407</v>
      </c>
      <c r="J411" s="16">
        <f t="shared" ca="1" si="66"/>
        <v>125</v>
      </c>
      <c r="K411" s="16">
        <f t="shared" ca="1" si="67"/>
        <v>125</v>
      </c>
      <c r="L411" s="16">
        <f t="shared" ca="1" si="68"/>
        <v>145</v>
      </c>
      <c r="M411" s="17">
        <f t="shared" ca="1" si="69"/>
        <v>625</v>
      </c>
      <c r="N411" s="17">
        <f t="shared" si="70"/>
        <v>-20</v>
      </c>
      <c r="O411" s="17">
        <f t="shared" si="71"/>
        <v>-810</v>
      </c>
      <c r="P411" s="18">
        <f t="shared" ca="1" si="72"/>
        <v>-72.5</v>
      </c>
      <c r="Q411" s="18">
        <f t="shared" ca="1" si="73"/>
        <v>217.5</v>
      </c>
      <c r="R411" s="19">
        <f t="shared" ca="1" si="74"/>
        <v>-60</v>
      </c>
      <c r="S411" s="15">
        <f t="shared" ca="1" si="75"/>
        <v>1</v>
      </c>
    </row>
    <row r="412" spans="9:19">
      <c r="I412" s="15">
        <f t="shared" si="76"/>
        <v>408</v>
      </c>
      <c r="J412" s="16">
        <f t="shared" ca="1" si="66"/>
        <v>260</v>
      </c>
      <c r="K412" s="16">
        <f t="shared" ca="1" si="67"/>
        <v>260</v>
      </c>
      <c r="L412" s="16">
        <f t="shared" ca="1" si="68"/>
        <v>10</v>
      </c>
      <c r="M412" s="17">
        <f t="shared" ca="1" si="69"/>
        <v>1300</v>
      </c>
      <c r="N412" s="17">
        <f t="shared" si="70"/>
        <v>-20</v>
      </c>
      <c r="O412" s="17">
        <f t="shared" si="71"/>
        <v>-810</v>
      </c>
      <c r="P412" s="18">
        <f t="shared" ca="1" si="72"/>
        <v>-5</v>
      </c>
      <c r="Q412" s="18">
        <f t="shared" ca="1" si="73"/>
        <v>15</v>
      </c>
      <c r="R412" s="19">
        <f t="shared" ca="1" si="74"/>
        <v>480</v>
      </c>
      <c r="S412" s="15">
        <f t="shared" ca="1" si="75"/>
        <v>0</v>
      </c>
    </row>
    <row r="413" spans="9:19">
      <c r="I413" s="15">
        <f t="shared" si="76"/>
        <v>409</v>
      </c>
      <c r="J413" s="16">
        <f t="shared" ca="1" si="66"/>
        <v>390</v>
      </c>
      <c r="K413" s="16">
        <f t="shared" ca="1" si="67"/>
        <v>270</v>
      </c>
      <c r="L413" s="16">
        <f t="shared" ca="1" si="68"/>
        <v>0</v>
      </c>
      <c r="M413" s="17">
        <f t="shared" ca="1" si="69"/>
        <v>1350</v>
      </c>
      <c r="N413" s="17">
        <f t="shared" si="70"/>
        <v>-20</v>
      </c>
      <c r="O413" s="17">
        <f t="shared" si="71"/>
        <v>-810</v>
      </c>
      <c r="P413" s="18">
        <f t="shared" ca="1" si="72"/>
        <v>0</v>
      </c>
      <c r="Q413" s="18">
        <f t="shared" ca="1" si="73"/>
        <v>0</v>
      </c>
      <c r="R413" s="19">
        <f t="shared" ca="1" si="74"/>
        <v>520</v>
      </c>
      <c r="S413" s="15">
        <f t="shared" ca="1" si="75"/>
        <v>0</v>
      </c>
    </row>
    <row r="414" spans="9:19">
      <c r="I414" s="15">
        <f t="shared" si="76"/>
        <v>410</v>
      </c>
      <c r="J414" s="16">
        <f t="shared" ca="1" si="66"/>
        <v>162</v>
      </c>
      <c r="K414" s="16">
        <f t="shared" ca="1" si="67"/>
        <v>162</v>
      </c>
      <c r="L414" s="16">
        <f t="shared" ca="1" si="68"/>
        <v>108</v>
      </c>
      <c r="M414" s="17">
        <f t="shared" ca="1" si="69"/>
        <v>810</v>
      </c>
      <c r="N414" s="17">
        <f t="shared" si="70"/>
        <v>-20</v>
      </c>
      <c r="O414" s="17">
        <f t="shared" si="71"/>
        <v>-810</v>
      </c>
      <c r="P414" s="18">
        <f t="shared" ca="1" si="72"/>
        <v>-54</v>
      </c>
      <c r="Q414" s="18">
        <f t="shared" ca="1" si="73"/>
        <v>162</v>
      </c>
      <c r="R414" s="19">
        <f t="shared" ca="1" si="74"/>
        <v>88</v>
      </c>
      <c r="S414" s="15">
        <f t="shared" ca="1" si="75"/>
        <v>0</v>
      </c>
    </row>
    <row r="415" spans="9:19">
      <c r="I415" s="15">
        <f t="shared" si="76"/>
        <v>411</v>
      </c>
      <c r="J415" s="16">
        <f t="shared" ca="1" si="66"/>
        <v>211</v>
      </c>
      <c r="K415" s="16">
        <f t="shared" ca="1" si="67"/>
        <v>211</v>
      </c>
      <c r="L415" s="16">
        <f t="shared" ca="1" si="68"/>
        <v>59</v>
      </c>
      <c r="M415" s="17">
        <f t="shared" ca="1" si="69"/>
        <v>1055</v>
      </c>
      <c r="N415" s="17">
        <f t="shared" si="70"/>
        <v>-20</v>
      </c>
      <c r="O415" s="17">
        <f t="shared" si="71"/>
        <v>-810</v>
      </c>
      <c r="P415" s="18">
        <f t="shared" ca="1" si="72"/>
        <v>-29.5</v>
      </c>
      <c r="Q415" s="18">
        <f t="shared" ca="1" si="73"/>
        <v>88.5</v>
      </c>
      <c r="R415" s="19">
        <f t="shared" ca="1" si="74"/>
        <v>284</v>
      </c>
      <c r="S415" s="15">
        <f t="shared" ca="1" si="75"/>
        <v>0</v>
      </c>
    </row>
    <row r="416" spans="9:19">
      <c r="I416" s="15">
        <f t="shared" si="76"/>
        <v>412</v>
      </c>
      <c r="J416" s="16">
        <f t="shared" ca="1" si="66"/>
        <v>406</v>
      </c>
      <c r="K416" s="16">
        <f t="shared" ca="1" si="67"/>
        <v>270</v>
      </c>
      <c r="L416" s="16">
        <f t="shared" ca="1" si="68"/>
        <v>0</v>
      </c>
      <c r="M416" s="17">
        <f t="shared" ca="1" si="69"/>
        <v>1350</v>
      </c>
      <c r="N416" s="17">
        <f t="shared" si="70"/>
        <v>-20</v>
      </c>
      <c r="O416" s="17">
        <f t="shared" si="71"/>
        <v>-810</v>
      </c>
      <c r="P416" s="18">
        <f t="shared" ca="1" si="72"/>
        <v>0</v>
      </c>
      <c r="Q416" s="18">
        <f t="shared" ca="1" si="73"/>
        <v>0</v>
      </c>
      <c r="R416" s="19">
        <f t="shared" ca="1" si="74"/>
        <v>520</v>
      </c>
      <c r="S416" s="15">
        <f t="shared" ca="1" si="75"/>
        <v>0</v>
      </c>
    </row>
    <row r="417" spans="9:19">
      <c r="I417" s="15">
        <f t="shared" si="76"/>
        <v>413</v>
      </c>
      <c r="J417" s="16">
        <f t="shared" ca="1" si="66"/>
        <v>269</v>
      </c>
      <c r="K417" s="16">
        <f t="shared" ca="1" si="67"/>
        <v>269</v>
      </c>
      <c r="L417" s="16">
        <f t="shared" ca="1" si="68"/>
        <v>1</v>
      </c>
      <c r="M417" s="17">
        <f t="shared" ca="1" si="69"/>
        <v>1345</v>
      </c>
      <c r="N417" s="17">
        <f t="shared" si="70"/>
        <v>-20</v>
      </c>
      <c r="O417" s="17">
        <f t="shared" si="71"/>
        <v>-810</v>
      </c>
      <c r="P417" s="18">
        <f t="shared" ca="1" si="72"/>
        <v>-0.5</v>
      </c>
      <c r="Q417" s="18">
        <f t="shared" ca="1" si="73"/>
        <v>1.5</v>
      </c>
      <c r="R417" s="19">
        <f t="shared" ca="1" si="74"/>
        <v>516</v>
      </c>
      <c r="S417" s="15">
        <f t="shared" ca="1" si="75"/>
        <v>0</v>
      </c>
    </row>
    <row r="418" spans="9:19">
      <c r="I418" s="15">
        <f t="shared" si="76"/>
        <v>414</v>
      </c>
      <c r="J418" s="16">
        <f t="shared" ca="1" si="66"/>
        <v>160</v>
      </c>
      <c r="K418" s="16">
        <f t="shared" ca="1" si="67"/>
        <v>160</v>
      </c>
      <c r="L418" s="16">
        <f t="shared" ca="1" si="68"/>
        <v>110</v>
      </c>
      <c r="M418" s="17">
        <f t="shared" ca="1" si="69"/>
        <v>800</v>
      </c>
      <c r="N418" s="17">
        <f t="shared" si="70"/>
        <v>-20</v>
      </c>
      <c r="O418" s="17">
        <f t="shared" si="71"/>
        <v>-810</v>
      </c>
      <c r="P418" s="18">
        <f t="shared" ca="1" si="72"/>
        <v>-55</v>
      </c>
      <c r="Q418" s="18">
        <f t="shared" ca="1" si="73"/>
        <v>165</v>
      </c>
      <c r="R418" s="19">
        <f t="shared" ca="1" si="74"/>
        <v>80</v>
      </c>
      <c r="S418" s="15">
        <f t="shared" ca="1" si="75"/>
        <v>0</v>
      </c>
    </row>
    <row r="419" spans="9:19">
      <c r="I419" s="15">
        <f t="shared" si="76"/>
        <v>415</v>
      </c>
      <c r="J419" s="16">
        <f t="shared" ca="1" si="66"/>
        <v>120</v>
      </c>
      <c r="K419" s="16">
        <f t="shared" ca="1" si="67"/>
        <v>120</v>
      </c>
      <c r="L419" s="16">
        <f t="shared" ca="1" si="68"/>
        <v>150</v>
      </c>
      <c r="M419" s="17">
        <f t="shared" ca="1" si="69"/>
        <v>600</v>
      </c>
      <c r="N419" s="17">
        <f t="shared" si="70"/>
        <v>-20</v>
      </c>
      <c r="O419" s="17">
        <f t="shared" si="71"/>
        <v>-810</v>
      </c>
      <c r="P419" s="18">
        <f t="shared" ca="1" si="72"/>
        <v>-75</v>
      </c>
      <c r="Q419" s="18">
        <f t="shared" ca="1" si="73"/>
        <v>225</v>
      </c>
      <c r="R419" s="19">
        <f t="shared" ca="1" si="74"/>
        <v>-80</v>
      </c>
      <c r="S419" s="15">
        <f t="shared" ca="1" si="75"/>
        <v>1</v>
      </c>
    </row>
    <row r="420" spans="9:19">
      <c r="I420" s="15">
        <f t="shared" si="76"/>
        <v>416</v>
      </c>
      <c r="J420" s="16">
        <f t="shared" ca="1" si="66"/>
        <v>396</v>
      </c>
      <c r="K420" s="16">
        <f t="shared" ca="1" si="67"/>
        <v>270</v>
      </c>
      <c r="L420" s="16">
        <f t="shared" ca="1" si="68"/>
        <v>0</v>
      </c>
      <c r="M420" s="17">
        <f t="shared" ca="1" si="69"/>
        <v>1350</v>
      </c>
      <c r="N420" s="17">
        <f t="shared" si="70"/>
        <v>-20</v>
      </c>
      <c r="O420" s="17">
        <f t="shared" si="71"/>
        <v>-810</v>
      </c>
      <c r="P420" s="18">
        <f t="shared" ca="1" si="72"/>
        <v>0</v>
      </c>
      <c r="Q420" s="18">
        <f t="shared" ca="1" si="73"/>
        <v>0</v>
      </c>
      <c r="R420" s="19">
        <f t="shared" ca="1" si="74"/>
        <v>520</v>
      </c>
      <c r="S420" s="15">
        <f t="shared" ca="1" si="75"/>
        <v>0</v>
      </c>
    </row>
    <row r="421" spans="9:19">
      <c r="I421" s="15">
        <f t="shared" si="76"/>
        <v>417</v>
      </c>
      <c r="J421" s="16">
        <f t="shared" ca="1" si="66"/>
        <v>404</v>
      </c>
      <c r="K421" s="16">
        <f t="shared" ca="1" si="67"/>
        <v>270</v>
      </c>
      <c r="L421" s="16">
        <f t="shared" ca="1" si="68"/>
        <v>0</v>
      </c>
      <c r="M421" s="17">
        <f t="shared" ca="1" si="69"/>
        <v>1350</v>
      </c>
      <c r="N421" s="17">
        <f t="shared" si="70"/>
        <v>-20</v>
      </c>
      <c r="O421" s="17">
        <f t="shared" si="71"/>
        <v>-810</v>
      </c>
      <c r="P421" s="18">
        <f t="shared" ca="1" si="72"/>
        <v>0</v>
      </c>
      <c r="Q421" s="18">
        <f t="shared" ca="1" si="73"/>
        <v>0</v>
      </c>
      <c r="R421" s="19">
        <f t="shared" ca="1" si="74"/>
        <v>520</v>
      </c>
      <c r="S421" s="15">
        <f t="shared" ca="1" si="75"/>
        <v>0</v>
      </c>
    </row>
    <row r="422" spans="9:19">
      <c r="I422" s="15">
        <f t="shared" si="76"/>
        <v>418</v>
      </c>
      <c r="J422" s="16">
        <f t="shared" ca="1" si="66"/>
        <v>411</v>
      </c>
      <c r="K422" s="16">
        <f t="shared" ca="1" si="67"/>
        <v>270</v>
      </c>
      <c r="L422" s="16">
        <f t="shared" ca="1" si="68"/>
        <v>0</v>
      </c>
      <c r="M422" s="17">
        <f t="shared" ca="1" si="69"/>
        <v>1350</v>
      </c>
      <c r="N422" s="17">
        <f t="shared" si="70"/>
        <v>-20</v>
      </c>
      <c r="O422" s="17">
        <f t="shared" si="71"/>
        <v>-810</v>
      </c>
      <c r="P422" s="18">
        <f t="shared" ca="1" si="72"/>
        <v>0</v>
      </c>
      <c r="Q422" s="18">
        <f t="shared" ca="1" si="73"/>
        <v>0</v>
      </c>
      <c r="R422" s="19">
        <f t="shared" ca="1" si="74"/>
        <v>520</v>
      </c>
      <c r="S422" s="15">
        <f t="shared" ca="1" si="75"/>
        <v>0</v>
      </c>
    </row>
    <row r="423" spans="9:19">
      <c r="I423" s="15">
        <f t="shared" si="76"/>
        <v>419</v>
      </c>
      <c r="J423" s="16">
        <f t="shared" ca="1" si="66"/>
        <v>148</v>
      </c>
      <c r="K423" s="16">
        <f t="shared" ca="1" si="67"/>
        <v>148</v>
      </c>
      <c r="L423" s="16">
        <f t="shared" ca="1" si="68"/>
        <v>122</v>
      </c>
      <c r="M423" s="17">
        <f t="shared" ca="1" si="69"/>
        <v>740</v>
      </c>
      <c r="N423" s="17">
        <f t="shared" si="70"/>
        <v>-20</v>
      </c>
      <c r="O423" s="17">
        <f t="shared" si="71"/>
        <v>-810</v>
      </c>
      <c r="P423" s="18">
        <f t="shared" ca="1" si="72"/>
        <v>-61</v>
      </c>
      <c r="Q423" s="18">
        <f t="shared" ca="1" si="73"/>
        <v>183</v>
      </c>
      <c r="R423" s="19">
        <f t="shared" ca="1" si="74"/>
        <v>32</v>
      </c>
      <c r="S423" s="15">
        <f t="shared" ca="1" si="75"/>
        <v>0</v>
      </c>
    </row>
    <row r="424" spans="9:19">
      <c r="I424" s="15">
        <f t="shared" si="76"/>
        <v>420</v>
      </c>
      <c r="J424" s="16">
        <f t="shared" ca="1" si="66"/>
        <v>313</v>
      </c>
      <c r="K424" s="16">
        <f t="shared" ca="1" si="67"/>
        <v>270</v>
      </c>
      <c r="L424" s="16">
        <f t="shared" ca="1" si="68"/>
        <v>0</v>
      </c>
      <c r="M424" s="17">
        <f t="shared" ca="1" si="69"/>
        <v>1350</v>
      </c>
      <c r="N424" s="17">
        <f t="shared" si="70"/>
        <v>-20</v>
      </c>
      <c r="O424" s="17">
        <f t="shared" si="71"/>
        <v>-810</v>
      </c>
      <c r="P424" s="18">
        <f t="shared" ca="1" si="72"/>
        <v>0</v>
      </c>
      <c r="Q424" s="18">
        <f t="shared" ca="1" si="73"/>
        <v>0</v>
      </c>
      <c r="R424" s="19">
        <f t="shared" ca="1" si="74"/>
        <v>520</v>
      </c>
      <c r="S424" s="15">
        <f t="shared" ca="1" si="75"/>
        <v>0</v>
      </c>
    </row>
    <row r="425" spans="9:19">
      <c r="I425" s="15">
        <f t="shared" si="76"/>
        <v>421</v>
      </c>
      <c r="J425" s="16">
        <f t="shared" ca="1" si="66"/>
        <v>404</v>
      </c>
      <c r="K425" s="16">
        <f t="shared" ca="1" si="67"/>
        <v>270</v>
      </c>
      <c r="L425" s="16">
        <f t="shared" ca="1" si="68"/>
        <v>0</v>
      </c>
      <c r="M425" s="17">
        <f t="shared" ca="1" si="69"/>
        <v>1350</v>
      </c>
      <c r="N425" s="17">
        <f t="shared" si="70"/>
        <v>-20</v>
      </c>
      <c r="O425" s="17">
        <f t="shared" si="71"/>
        <v>-810</v>
      </c>
      <c r="P425" s="18">
        <f t="shared" ca="1" si="72"/>
        <v>0</v>
      </c>
      <c r="Q425" s="18">
        <f t="shared" ca="1" si="73"/>
        <v>0</v>
      </c>
      <c r="R425" s="19">
        <f t="shared" ca="1" si="74"/>
        <v>520</v>
      </c>
      <c r="S425" s="15">
        <f t="shared" ca="1" si="75"/>
        <v>0</v>
      </c>
    </row>
    <row r="426" spans="9:19">
      <c r="I426" s="15">
        <f t="shared" si="76"/>
        <v>422</v>
      </c>
      <c r="J426" s="16">
        <f t="shared" ca="1" si="66"/>
        <v>223</v>
      </c>
      <c r="K426" s="16">
        <f t="shared" ca="1" si="67"/>
        <v>223</v>
      </c>
      <c r="L426" s="16">
        <f t="shared" ca="1" si="68"/>
        <v>47</v>
      </c>
      <c r="M426" s="17">
        <f t="shared" ca="1" si="69"/>
        <v>1115</v>
      </c>
      <c r="N426" s="17">
        <f t="shared" si="70"/>
        <v>-20</v>
      </c>
      <c r="O426" s="17">
        <f t="shared" si="71"/>
        <v>-810</v>
      </c>
      <c r="P426" s="18">
        <f t="shared" ca="1" si="72"/>
        <v>-23.5</v>
      </c>
      <c r="Q426" s="18">
        <f t="shared" ca="1" si="73"/>
        <v>70.5</v>
      </c>
      <c r="R426" s="19">
        <f t="shared" ca="1" si="74"/>
        <v>332</v>
      </c>
      <c r="S426" s="15">
        <f t="shared" ca="1" si="75"/>
        <v>0</v>
      </c>
    </row>
    <row r="427" spans="9:19">
      <c r="I427" s="15">
        <f t="shared" si="76"/>
        <v>423</v>
      </c>
      <c r="J427" s="16">
        <f t="shared" ca="1" si="66"/>
        <v>185</v>
      </c>
      <c r="K427" s="16">
        <f t="shared" ca="1" si="67"/>
        <v>185</v>
      </c>
      <c r="L427" s="16">
        <f t="shared" ca="1" si="68"/>
        <v>85</v>
      </c>
      <c r="M427" s="17">
        <f t="shared" ca="1" si="69"/>
        <v>925</v>
      </c>
      <c r="N427" s="17">
        <f t="shared" si="70"/>
        <v>-20</v>
      </c>
      <c r="O427" s="17">
        <f t="shared" si="71"/>
        <v>-810</v>
      </c>
      <c r="P427" s="18">
        <f t="shared" ca="1" si="72"/>
        <v>-42.5</v>
      </c>
      <c r="Q427" s="18">
        <f t="shared" ca="1" si="73"/>
        <v>127.5</v>
      </c>
      <c r="R427" s="19">
        <f t="shared" ca="1" si="74"/>
        <v>180</v>
      </c>
      <c r="S427" s="15">
        <f t="shared" ca="1" si="75"/>
        <v>0</v>
      </c>
    </row>
    <row r="428" spans="9:19">
      <c r="I428" s="15">
        <f t="shared" si="76"/>
        <v>424</v>
      </c>
      <c r="J428" s="16">
        <f t="shared" ca="1" si="66"/>
        <v>285</v>
      </c>
      <c r="K428" s="16">
        <f t="shared" ca="1" si="67"/>
        <v>270</v>
      </c>
      <c r="L428" s="16">
        <f t="shared" ca="1" si="68"/>
        <v>0</v>
      </c>
      <c r="M428" s="17">
        <f t="shared" ca="1" si="69"/>
        <v>1350</v>
      </c>
      <c r="N428" s="17">
        <f t="shared" si="70"/>
        <v>-20</v>
      </c>
      <c r="O428" s="17">
        <f t="shared" si="71"/>
        <v>-810</v>
      </c>
      <c r="P428" s="18">
        <f t="shared" ca="1" si="72"/>
        <v>0</v>
      </c>
      <c r="Q428" s="18">
        <f t="shared" ca="1" si="73"/>
        <v>0</v>
      </c>
      <c r="R428" s="19">
        <f t="shared" ca="1" si="74"/>
        <v>520</v>
      </c>
      <c r="S428" s="15">
        <f t="shared" ca="1" si="75"/>
        <v>0</v>
      </c>
    </row>
    <row r="429" spans="9:19">
      <c r="I429" s="15">
        <f t="shared" si="76"/>
        <v>425</v>
      </c>
      <c r="J429" s="16">
        <f t="shared" ca="1" si="66"/>
        <v>294</v>
      </c>
      <c r="K429" s="16">
        <f t="shared" ca="1" si="67"/>
        <v>270</v>
      </c>
      <c r="L429" s="16">
        <f t="shared" ca="1" si="68"/>
        <v>0</v>
      </c>
      <c r="M429" s="17">
        <f t="shared" ca="1" si="69"/>
        <v>1350</v>
      </c>
      <c r="N429" s="17">
        <f t="shared" si="70"/>
        <v>-20</v>
      </c>
      <c r="O429" s="17">
        <f t="shared" si="71"/>
        <v>-810</v>
      </c>
      <c r="P429" s="18">
        <f t="shared" ca="1" si="72"/>
        <v>0</v>
      </c>
      <c r="Q429" s="18">
        <f t="shared" ca="1" si="73"/>
        <v>0</v>
      </c>
      <c r="R429" s="19">
        <f t="shared" ca="1" si="74"/>
        <v>520</v>
      </c>
      <c r="S429" s="15">
        <f t="shared" ca="1" si="75"/>
        <v>0</v>
      </c>
    </row>
    <row r="430" spans="9:19">
      <c r="I430" s="15">
        <f t="shared" si="76"/>
        <v>426</v>
      </c>
      <c r="J430" s="16">
        <f t="shared" ca="1" si="66"/>
        <v>349</v>
      </c>
      <c r="K430" s="16">
        <f t="shared" ca="1" si="67"/>
        <v>270</v>
      </c>
      <c r="L430" s="16">
        <f t="shared" ca="1" si="68"/>
        <v>0</v>
      </c>
      <c r="M430" s="17">
        <f t="shared" ca="1" si="69"/>
        <v>1350</v>
      </c>
      <c r="N430" s="17">
        <f t="shared" si="70"/>
        <v>-20</v>
      </c>
      <c r="O430" s="17">
        <f t="shared" si="71"/>
        <v>-810</v>
      </c>
      <c r="P430" s="18">
        <f t="shared" ca="1" si="72"/>
        <v>0</v>
      </c>
      <c r="Q430" s="18">
        <f t="shared" ca="1" si="73"/>
        <v>0</v>
      </c>
      <c r="R430" s="19">
        <f t="shared" ca="1" si="74"/>
        <v>520</v>
      </c>
      <c r="S430" s="15">
        <f t="shared" ca="1" si="75"/>
        <v>0</v>
      </c>
    </row>
    <row r="431" spans="9:19">
      <c r="I431" s="15">
        <f t="shared" si="76"/>
        <v>427</v>
      </c>
      <c r="J431" s="16">
        <f t="shared" ca="1" si="66"/>
        <v>319</v>
      </c>
      <c r="K431" s="16">
        <f t="shared" ca="1" si="67"/>
        <v>270</v>
      </c>
      <c r="L431" s="16">
        <f t="shared" ca="1" si="68"/>
        <v>0</v>
      </c>
      <c r="M431" s="17">
        <f t="shared" ca="1" si="69"/>
        <v>1350</v>
      </c>
      <c r="N431" s="17">
        <f t="shared" si="70"/>
        <v>-20</v>
      </c>
      <c r="O431" s="17">
        <f t="shared" si="71"/>
        <v>-810</v>
      </c>
      <c r="P431" s="18">
        <f t="shared" ca="1" si="72"/>
        <v>0</v>
      </c>
      <c r="Q431" s="18">
        <f t="shared" ca="1" si="73"/>
        <v>0</v>
      </c>
      <c r="R431" s="19">
        <f t="shared" ca="1" si="74"/>
        <v>520</v>
      </c>
      <c r="S431" s="15">
        <f t="shared" ca="1" si="75"/>
        <v>0</v>
      </c>
    </row>
    <row r="432" spans="9:19">
      <c r="I432" s="15">
        <f t="shared" si="76"/>
        <v>428</v>
      </c>
      <c r="J432" s="16">
        <f t="shared" ca="1" si="66"/>
        <v>140</v>
      </c>
      <c r="K432" s="16">
        <f t="shared" ca="1" si="67"/>
        <v>140</v>
      </c>
      <c r="L432" s="16">
        <f t="shared" ca="1" si="68"/>
        <v>130</v>
      </c>
      <c r="M432" s="17">
        <f t="shared" ca="1" si="69"/>
        <v>700</v>
      </c>
      <c r="N432" s="17">
        <f t="shared" si="70"/>
        <v>-20</v>
      </c>
      <c r="O432" s="17">
        <f t="shared" si="71"/>
        <v>-810</v>
      </c>
      <c r="P432" s="18">
        <f t="shared" ca="1" si="72"/>
        <v>-65</v>
      </c>
      <c r="Q432" s="18">
        <f t="shared" ca="1" si="73"/>
        <v>195</v>
      </c>
      <c r="R432" s="19">
        <f t="shared" ca="1" si="74"/>
        <v>0</v>
      </c>
      <c r="S432" s="15">
        <f t="shared" ca="1" si="75"/>
        <v>0</v>
      </c>
    </row>
    <row r="433" spans="9:19">
      <c r="I433" s="15">
        <f t="shared" si="76"/>
        <v>429</v>
      </c>
      <c r="J433" s="16">
        <f t="shared" ca="1" si="66"/>
        <v>252</v>
      </c>
      <c r="K433" s="16">
        <f t="shared" ca="1" si="67"/>
        <v>252</v>
      </c>
      <c r="L433" s="16">
        <f t="shared" ca="1" si="68"/>
        <v>18</v>
      </c>
      <c r="M433" s="17">
        <f t="shared" ca="1" si="69"/>
        <v>1260</v>
      </c>
      <c r="N433" s="17">
        <f t="shared" si="70"/>
        <v>-20</v>
      </c>
      <c r="O433" s="17">
        <f t="shared" si="71"/>
        <v>-810</v>
      </c>
      <c r="P433" s="18">
        <f t="shared" ca="1" si="72"/>
        <v>-9</v>
      </c>
      <c r="Q433" s="18">
        <f t="shared" ca="1" si="73"/>
        <v>27</v>
      </c>
      <c r="R433" s="19">
        <f t="shared" ca="1" si="74"/>
        <v>448</v>
      </c>
      <c r="S433" s="15">
        <f t="shared" ca="1" si="75"/>
        <v>0</v>
      </c>
    </row>
    <row r="434" spans="9:19">
      <c r="I434" s="15">
        <f t="shared" si="76"/>
        <v>430</v>
      </c>
      <c r="J434" s="16">
        <f t="shared" ca="1" si="66"/>
        <v>134</v>
      </c>
      <c r="K434" s="16">
        <f t="shared" ca="1" si="67"/>
        <v>134</v>
      </c>
      <c r="L434" s="16">
        <f t="shared" ca="1" si="68"/>
        <v>136</v>
      </c>
      <c r="M434" s="17">
        <f t="shared" ca="1" si="69"/>
        <v>670</v>
      </c>
      <c r="N434" s="17">
        <f t="shared" si="70"/>
        <v>-20</v>
      </c>
      <c r="O434" s="17">
        <f t="shared" si="71"/>
        <v>-810</v>
      </c>
      <c r="P434" s="18">
        <f t="shared" ca="1" si="72"/>
        <v>-68</v>
      </c>
      <c r="Q434" s="18">
        <f t="shared" ca="1" si="73"/>
        <v>204</v>
      </c>
      <c r="R434" s="19">
        <f t="shared" ca="1" si="74"/>
        <v>-24</v>
      </c>
      <c r="S434" s="15">
        <f t="shared" ca="1" si="75"/>
        <v>1</v>
      </c>
    </row>
    <row r="435" spans="9:19">
      <c r="I435" s="15">
        <f t="shared" si="76"/>
        <v>431</v>
      </c>
      <c r="J435" s="16">
        <f t="shared" ca="1" si="66"/>
        <v>272</v>
      </c>
      <c r="K435" s="16">
        <f t="shared" ca="1" si="67"/>
        <v>270</v>
      </c>
      <c r="L435" s="16">
        <f t="shared" ca="1" si="68"/>
        <v>0</v>
      </c>
      <c r="M435" s="17">
        <f t="shared" ca="1" si="69"/>
        <v>1350</v>
      </c>
      <c r="N435" s="17">
        <f t="shared" si="70"/>
        <v>-20</v>
      </c>
      <c r="O435" s="17">
        <f t="shared" si="71"/>
        <v>-810</v>
      </c>
      <c r="P435" s="18">
        <f t="shared" ca="1" si="72"/>
        <v>0</v>
      </c>
      <c r="Q435" s="18">
        <f t="shared" ca="1" si="73"/>
        <v>0</v>
      </c>
      <c r="R435" s="19">
        <f t="shared" ca="1" si="74"/>
        <v>520</v>
      </c>
      <c r="S435" s="15">
        <f t="shared" ca="1" si="75"/>
        <v>0</v>
      </c>
    </row>
    <row r="436" spans="9:19">
      <c r="I436" s="15">
        <f t="shared" si="76"/>
        <v>432</v>
      </c>
      <c r="J436" s="16">
        <f t="shared" ca="1" si="66"/>
        <v>368</v>
      </c>
      <c r="K436" s="16">
        <f t="shared" ca="1" si="67"/>
        <v>270</v>
      </c>
      <c r="L436" s="16">
        <f t="shared" ca="1" si="68"/>
        <v>0</v>
      </c>
      <c r="M436" s="17">
        <f t="shared" ca="1" si="69"/>
        <v>1350</v>
      </c>
      <c r="N436" s="17">
        <f t="shared" si="70"/>
        <v>-20</v>
      </c>
      <c r="O436" s="17">
        <f t="shared" si="71"/>
        <v>-810</v>
      </c>
      <c r="P436" s="18">
        <f t="shared" ca="1" si="72"/>
        <v>0</v>
      </c>
      <c r="Q436" s="18">
        <f t="shared" ca="1" si="73"/>
        <v>0</v>
      </c>
      <c r="R436" s="19">
        <f t="shared" ca="1" si="74"/>
        <v>520</v>
      </c>
      <c r="S436" s="15">
        <f t="shared" ca="1" si="75"/>
        <v>0</v>
      </c>
    </row>
    <row r="437" spans="9:19">
      <c r="I437" s="15">
        <f t="shared" si="76"/>
        <v>433</v>
      </c>
      <c r="J437" s="16">
        <f t="shared" ca="1" si="66"/>
        <v>345</v>
      </c>
      <c r="K437" s="16">
        <f t="shared" ca="1" si="67"/>
        <v>270</v>
      </c>
      <c r="L437" s="16">
        <f t="shared" ca="1" si="68"/>
        <v>0</v>
      </c>
      <c r="M437" s="17">
        <f t="shared" ca="1" si="69"/>
        <v>1350</v>
      </c>
      <c r="N437" s="17">
        <f t="shared" si="70"/>
        <v>-20</v>
      </c>
      <c r="O437" s="17">
        <f t="shared" si="71"/>
        <v>-810</v>
      </c>
      <c r="P437" s="18">
        <f t="shared" ca="1" si="72"/>
        <v>0</v>
      </c>
      <c r="Q437" s="18">
        <f t="shared" ca="1" si="73"/>
        <v>0</v>
      </c>
      <c r="R437" s="19">
        <f t="shared" ca="1" si="74"/>
        <v>520</v>
      </c>
      <c r="S437" s="15">
        <f t="shared" ca="1" si="75"/>
        <v>0</v>
      </c>
    </row>
    <row r="438" spans="9:19">
      <c r="I438" s="15">
        <f t="shared" si="76"/>
        <v>434</v>
      </c>
      <c r="J438" s="16">
        <f t="shared" ca="1" si="66"/>
        <v>361</v>
      </c>
      <c r="K438" s="16">
        <f t="shared" ca="1" si="67"/>
        <v>270</v>
      </c>
      <c r="L438" s="16">
        <f t="shared" ca="1" si="68"/>
        <v>0</v>
      </c>
      <c r="M438" s="17">
        <f t="shared" ca="1" si="69"/>
        <v>1350</v>
      </c>
      <c r="N438" s="17">
        <f t="shared" si="70"/>
        <v>-20</v>
      </c>
      <c r="O438" s="17">
        <f t="shared" si="71"/>
        <v>-810</v>
      </c>
      <c r="P438" s="18">
        <f t="shared" ca="1" si="72"/>
        <v>0</v>
      </c>
      <c r="Q438" s="18">
        <f t="shared" ca="1" si="73"/>
        <v>0</v>
      </c>
      <c r="R438" s="19">
        <f t="shared" ca="1" si="74"/>
        <v>520</v>
      </c>
      <c r="S438" s="15">
        <f t="shared" ca="1" si="75"/>
        <v>0</v>
      </c>
    </row>
    <row r="439" spans="9:19">
      <c r="I439" s="15">
        <f t="shared" si="76"/>
        <v>435</v>
      </c>
      <c r="J439" s="16">
        <f t="shared" ca="1" si="66"/>
        <v>386</v>
      </c>
      <c r="K439" s="16">
        <f t="shared" ca="1" si="67"/>
        <v>270</v>
      </c>
      <c r="L439" s="16">
        <f t="shared" ca="1" si="68"/>
        <v>0</v>
      </c>
      <c r="M439" s="17">
        <f t="shared" ca="1" si="69"/>
        <v>1350</v>
      </c>
      <c r="N439" s="17">
        <f t="shared" si="70"/>
        <v>-20</v>
      </c>
      <c r="O439" s="17">
        <f t="shared" si="71"/>
        <v>-810</v>
      </c>
      <c r="P439" s="18">
        <f t="shared" ca="1" si="72"/>
        <v>0</v>
      </c>
      <c r="Q439" s="18">
        <f t="shared" ca="1" si="73"/>
        <v>0</v>
      </c>
      <c r="R439" s="19">
        <f t="shared" ca="1" si="74"/>
        <v>520</v>
      </c>
      <c r="S439" s="15">
        <f t="shared" ca="1" si="75"/>
        <v>0</v>
      </c>
    </row>
    <row r="440" spans="9:19">
      <c r="I440" s="15">
        <f t="shared" si="76"/>
        <v>436</v>
      </c>
      <c r="J440" s="16">
        <f t="shared" ca="1" si="66"/>
        <v>226</v>
      </c>
      <c r="K440" s="16">
        <f t="shared" ca="1" si="67"/>
        <v>226</v>
      </c>
      <c r="L440" s="16">
        <f t="shared" ca="1" si="68"/>
        <v>44</v>
      </c>
      <c r="M440" s="17">
        <f t="shared" ca="1" si="69"/>
        <v>1130</v>
      </c>
      <c r="N440" s="17">
        <f t="shared" si="70"/>
        <v>-20</v>
      </c>
      <c r="O440" s="17">
        <f t="shared" si="71"/>
        <v>-810</v>
      </c>
      <c r="P440" s="18">
        <f t="shared" ca="1" si="72"/>
        <v>-22</v>
      </c>
      <c r="Q440" s="18">
        <f t="shared" ca="1" si="73"/>
        <v>66</v>
      </c>
      <c r="R440" s="19">
        <f t="shared" ca="1" si="74"/>
        <v>344</v>
      </c>
      <c r="S440" s="15">
        <f t="shared" ca="1" si="75"/>
        <v>0</v>
      </c>
    </row>
    <row r="441" spans="9:19">
      <c r="I441" s="15">
        <f t="shared" si="76"/>
        <v>437</v>
      </c>
      <c r="J441" s="16">
        <f t="shared" ca="1" si="66"/>
        <v>209</v>
      </c>
      <c r="K441" s="16">
        <f t="shared" ca="1" si="67"/>
        <v>209</v>
      </c>
      <c r="L441" s="16">
        <f t="shared" ca="1" si="68"/>
        <v>61</v>
      </c>
      <c r="M441" s="17">
        <f t="shared" ca="1" si="69"/>
        <v>1045</v>
      </c>
      <c r="N441" s="17">
        <f t="shared" si="70"/>
        <v>-20</v>
      </c>
      <c r="O441" s="17">
        <f t="shared" si="71"/>
        <v>-810</v>
      </c>
      <c r="P441" s="18">
        <f t="shared" ca="1" si="72"/>
        <v>-30.5</v>
      </c>
      <c r="Q441" s="18">
        <f t="shared" ca="1" si="73"/>
        <v>91.5</v>
      </c>
      <c r="R441" s="19">
        <f t="shared" ca="1" si="74"/>
        <v>276</v>
      </c>
      <c r="S441" s="15">
        <f t="shared" ca="1" si="75"/>
        <v>0</v>
      </c>
    </row>
    <row r="442" spans="9:19">
      <c r="I442" s="15">
        <f t="shared" si="76"/>
        <v>438</v>
      </c>
      <c r="J442" s="16">
        <f t="shared" ca="1" si="66"/>
        <v>184</v>
      </c>
      <c r="K442" s="16">
        <f t="shared" ca="1" si="67"/>
        <v>184</v>
      </c>
      <c r="L442" s="16">
        <f t="shared" ca="1" si="68"/>
        <v>86</v>
      </c>
      <c r="M442" s="17">
        <f t="shared" ca="1" si="69"/>
        <v>920</v>
      </c>
      <c r="N442" s="17">
        <f t="shared" si="70"/>
        <v>-20</v>
      </c>
      <c r="O442" s="17">
        <f t="shared" si="71"/>
        <v>-810</v>
      </c>
      <c r="P442" s="18">
        <f t="shared" ca="1" si="72"/>
        <v>-43</v>
      </c>
      <c r="Q442" s="18">
        <f t="shared" ca="1" si="73"/>
        <v>129</v>
      </c>
      <c r="R442" s="19">
        <f t="shared" ca="1" si="74"/>
        <v>176</v>
      </c>
      <c r="S442" s="15">
        <f t="shared" ca="1" si="75"/>
        <v>0</v>
      </c>
    </row>
    <row r="443" spans="9:19">
      <c r="I443" s="15">
        <f t="shared" si="76"/>
        <v>439</v>
      </c>
      <c r="J443" s="16">
        <f t="shared" ca="1" si="66"/>
        <v>272</v>
      </c>
      <c r="K443" s="16">
        <f t="shared" ca="1" si="67"/>
        <v>270</v>
      </c>
      <c r="L443" s="16">
        <f t="shared" ca="1" si="68"/>
        <v>0</v>
      </c>
      <c r="M443" s="17">
        <f t="shared" ca="1" si="69"/>
        <v>1350</v>
      </c>
      <c r="N443" s="17">
        <f t="shared" si="70"/>
        <v>-20</v>
      </c>
      <c r="O443" s="17">
        <f t="shared" si="71"/>
        <v>-810</v>
      </c>
      <c r="P443" s="18">
        <f t="shared" ca="1" si="72"/>
        <v>0</v>
      </c>
      <c r="Q443" s="18">
        <f t="shared" ca="1" si="73"/>
        <v>0</v>
      </c>
      <c r="R443" s="19">
        <f t="shared" ca="1" si="74"/>
        <v>520</v>
      </c>
      <c r="S443" s="15">
        <f t="shared" ca="1" si="75"/>
        <v>0</v>
      </c>
    </row>
    <row r="444" spans="9:19">
      <c r="I444" s="15">
        <f t="shared" si="76"/>
        <v>440</v>
      </c>
      <c r="J444" s="16">
        <f t="shared" ca="1" si="66"/>
        <v>342</v>
      </c>
      <c r="K444" s="16">
        <f t="shared" ca="1" si="67"/>
        <v>270</v>
      </c>
      <c r="L444" s="16">
        <f t="shared" ca="1" si="68"/>
        <v>0</v>
      </c>
      <c r="M444" s="17">
        <f t="shared" ca="1" si="69"/>
        <v>1350</v>
      </c>
      <c r="N444" s="17">
        <f t="shared" si="70"/>
        <v>-20</v>
      </c>
      <c r="O444" s="17">
        <f t="shared" si="71"/>
        <v>-810</v>
      </c>
      <c r="P444" s="18">
        <f t="shared" ca="1" si="72"/>
        <v>0</v>
      </c>
      <c r="Q444" s="18">
        <f t="shared" ca="1" si="73"/>
        <v>0</v>
      </c>
      <c r="R444" s="19">
        <f t="shared" ca="1" si="74"/>
        <v>520</v>
      </c>
      <c r="S444" s="15">
        <f t="shared" ca="1" si="75"/>
        <v>0</v>
      </c>
    </row>
    <row r="445" spans="9:19">
      <c r="I445" s="15">
        <f t="shared" si="76"/>
        <v>441</v>
      </c>
      <c r="J445" s="16">
        <f t="shared" ca="1" si="66"/>
        <v>388</v>
      </c>
      <c r="K445" s="16">
        <f t="shared" ca="1" si="67"/>
        <v>270</v>
      </c>
      <c r="L445" s="16">
        <f t="shared" ca="1" si="68"/>
        <v>0</v>
      </c>
      <c r="M445" s="17">
        <f t="shared" ca="1" si="69"/>
        <v>1350</v>
      </c>
      <c r="N445" s="17">
        <f t="shared" si="70"/>
        <v>-20</v>
      </c>
      <c r="O445" s="17">
        <f t="shared" si="71"/>
        <v>-810</v>
      </c>
      <c r="P445" s="18">
        <f t="shared" ca="1" si="72"/>
        <v>0</v>
      </c>
      <c r="Q445" s="18">
        <f t="shared" ca="1" si="73"/>
        <v>0</v>
      </c>
      <c r="R445" s="19">
        <f t="shared" ca="1" si="74"/>
        <v>520</v>
      </c>
      <c r="S445" s="15">
        <f t="shared" ca="1" si="75"/>
        <v>0</v>
      </c>
    </row>
    <row r="446" spans="9:19">
      <c r="I446" s="15">
        <f t="shared" si="76"/>
        <v>442</v>
      </c>
      <c r="J446" s="16">
        <f t="shared" ca="1" si="66"/>
        <v>288</v>
      </c>
      <c r="K446" s="16">
        <f t="shared" ca="1" si="67"/>
        <v>270</v>
      </c>
      <c r="L446" s="16">
        <f t="shared" ca="1" si="68"/>
        <v>0</v>
      </c>
      <c r="M446" s="17">
        <f t="shared" ca="1" si="69"/>
        <v>1350</v>
      </c>
      <c r="N446" s="17">
        <f t="shared" si="70"/>
        <v>-20</v>
      </c>
      <c r="O446" s="17">
        <f t="shared" si="71"/>
        <v>-810</v>
      </c>
      <c r="P446" s="18">
        <f t="shared" ca="1" si="72"/>
        <v>0</v>
      </c>
      <c r="Q446" s="18">
        <f t="shared" ca="1" si="73"/>
        <v>0</v>
      </c>
      <c r="R446" s="19">
        <f t="shared" ca="1" si="74"/>
        <v>520</v>
      </c>
      <c r="S446" s="15">
        <f t="shared" ca="1" si="75"/>
        <v>0</v>
      </c>
    </row>
    <row r="447" spans="9:19">
      <c r="I447" s="15">
        <f t="shared" si="76"/>
        <v>443</v>
      </c>
      <c r="J447" s="16">
        <f t="shared" ca="1" si="66"/>
        <v>417</v>
      </c>
      <c r="K447" s="16">
        <f t="shared" ca="1" si="67"/>
        <v>270</v>
      </c>
      <c r="L447" s="16">
        <f t="shared" ca="1" si="68"/>
        <v>0</v>
      </c>
      <c r="M447" s="17">
        <f t="shared" ca="1" si="69"/>
        <v>1350</v>
      </c>
      <c r="N447" s="17">
        <f t="shared" si="70"/>
        <v>-20</v>
      </c>
      <c r="O447" s="17">
        <f t="shared" si="71"/>
        <v>-810</v>
      </c>
      <c r="P447" s="18">
        <f t="shared" ca="1" si="72"/>
        <v>0</v>
      </c>
      <c r="Q447" s="18">
        <f t="shared" ca="1" si="73"/>
        <v>0</v>
      </c>
      <c r="R447" s="19">
        <f t="shared" ca="1" si="74"/>
        <v>520</v>
      </c>
      <c r="S447" s="15">
        <f t="shared" ca="1" si="75"/>
        <v>0</v>
      </c>
    </row>
    <row r="448" spans="9:19">
      <c r="I448" s="15">
        <f t="shared" si="76"/>
        <v>444</v>
      </c>
      <c r="J448" s="16">
        <f t="shared" ca="1" si="66"/>
        <v>298</v>
      </c>
      <c r="K448" s="16">
        <f t="shared" ca="1" si="67"/>
        <v>270</v>
      </c>
      <c r="L448" s="16">
        <f t="shared" ca="1" si="68"/>
        <v>0</v>
      </c>
      <c r="M448" s="17">
        <f t="shared" ca="1" si="69"/>
        <v>1350</v>
      </c>
      <c r="N448" s="17">
        <f t="shared" si="70"/>
        <v>-20</v>
      </c>
      <c r="O448" s="17">
        <f t="shared" si="71"/>
        <v>-810</v>
      </c>
      <c r="P448" s="18">
        <f t="shared" ca="1" si="72"/>
        <v>0</v>
      </c>
      <c r="Q448" s="18">
        <f t="shared" ca="1" si="73"/>
        <v>0</v>
      </c>
      <c r="R448" s="19">
        <f t="shared" ca="1" si="74"/>
        <v>520</v>
      </c>
      <c r="S448" s="15">
        <f t="shared" ca="1" si="75"/>
        <v>0</v>
      </c>
    </row>
    <row r="449" spans="9:19">
      <c r="I449" s="15">
        <f t="shared" si="76"/>
        <v>445</v>
      </c>
      <c r="J449" s="16">
        <f t="shared" ca="1" si="66"/>
        <v>178</v>
      </c>
      <c r="K449" s="16">
        <f t="shared" ca="1" si="67"/>
        <v>178</v>
      </c>
      <c r="L449" s="16">
        <f t="shared" ca="1" si="68"/>
        <v>92</v>
      </c>
      <c r="M449" s="17">
        <f t="shared" ca="1" si="69"/>
        <v>890</v>
      </c>
      <c r="N449" s="17">
        <f t="shared" si="70"/>
        <v>-20</v>
      </c>
      <c r="O449" s="17">
        <f t="shared" si="71"/>
        <v>-810</v>
      </c>
      <c r="P449" s="18">
        <f t="shared" ca="1" si="72"/>
        <v>-46</v>
      </c>
      <c r="Q449" s="18">
        <f t="shared" ca="1" si="73"/>
        <v>138</v>
      </c>
      <c r="R449" s="19">
        <f t="shared" ca="1" si="74"/>
        <v>152</v>
      </c>
      <c r="S449" s="15">
        <f t="shared" ca="1" si="75"/>
        <v>0</v>
      </c>
    </row>
    <row r="450" spans="9:19">
      <c r="I450" s="15">
        <f t="shared" si="76"/>
        <v>446</v>
      </c>
      <c r="J450" s="16">
        <f t="shared" ca="1" si="66"/>
        <v>308</v>
      </c>
      <c r="K450" s="16">
        <f t="shared" ca="1" si="67"/>
        <v>270</v>
      </c>
      <c r="L450" s="16">
        <f t="shared" ca="1" si="68"/>
        <v>0</v>
      </c>
      <c r="M450" s="17">
        <f t="shared" ca="1" si="69"/>
        <v>1350</v>
      </c>
      <c r="N450" s="17">
        <f t="shared" si="70"/>
        <v>-20</v>
      </c>
      <c r="O450" s="17">
        <f t="shared" si="71"/>
        <v>-810</v>
      </c>
      <c r="P450" s="18">
        <f t="shared" ca="1" si="72"/>
        <v>0</v>
      </c>
      <c r="Q450" s="18">
        <f t="shared" ca="1" si="73"/>
        <v>0</v>
      </c>
      <c r="R450" s="19">
        <f t="shared" ca="1" si="74"/>
        <v>520</v>
      </c>
      <c r="S450" s="15">
        <f t="shared" ca="1" si="75"/>
        <v>0</v>
      </c>
    </row>
    <row r="451" spans="9:19">
      <c r="I451" s="15">
        <f t="shared" si="76"/>
        <v>447</v>
      </c>
      <c r="J451" s="16">
        <f t="shared" ca="1" si="66"/>
        <v>324</v>
      </c>
      <c r="K451" s="16">
        <f t="shared" ca="1" si="67"/>
        <v>270</v>
      </c>
      <c r="L451" s="16">
        <f t="shared" ca="1" si="68"/>
        <v>0</v>
      </c>
      <c r="M451" s="17">
        <f t="shared" ca="1" si="69"/>
        <v>1350</v>
      </c>
      <c r="N451" s="17">
        <f t="shared" si="70"/>
        <v>-20</v>
      </c>
      <c r="O451" s="17">
        <f t="shared" si="71"/>
        <v>-810</v>
      </c>
      <c r="P451" s="18">
        <f t="shared" ca="1" si="72"/>
        <v>0</v>
      </c>
      <c r="Q451" s="18">
        <f t="shared" ca="1" si="73"/>
        <v>0</v>
      </c>
      <c r="R451" s="19">
        <f t="shared" ca="1" si="74"/>
        <v>520</v>
      </c>
      <c r="S451" s="15">
        <f t="shared" ca="1" si="75"/>
        <v>0</v>
      </c>
    </row>
    <row r="452" spans="9:19">
      <c r="I452" s="15">
        <f t="shared" si="76"/>
        <v>448</v>
      </c>
      <c r="J452" s="16">
        <f t="shared" ca="1" si="66"/>
        <v>331</v>
      </c>
      <c r="K452" s="16">
        <f t="shared" ca="1" si="67"/>
        <v>270</v>
      </c>
      <c r="L452" s="16">
        <f t="shared" ca="1" si="68"/>
        <v>0</v>
      </c>
      <c r="M452" s="17">
        <f t="shared" ca="1" si="69"/>
        <v>1350</v>
      </c>
      <c r="N452" s="17">
        <f t="shared" si="70"/>
        <v>-20</v>
      </c>
      <c r="O452" s="17">
        <f t="shared" si="71"/>
        <v>-810</v>
      </c>
      <c r="P452" s="18">
        <f t="shared" ca="1" si="72"/>
        <v>0</v>
      </c>
      <c r="Q452" s="18">
        <f t="shared" ca="1" si="73"/>
        <v>0</v>
      </c>
      <c r="R452" s="19">
        <f t="shared" ca="1" si="74"/>
        <v>520</v>
      </c>
      <c r="S452" s="15">
        <f t="shared" ca="1" si="75"/>
        <v>0</v>
      </c>
    </row>
    <row r="453" spans="9:19">
      <c r="I453" s="15">
        <f t="shared" si="76"/>
        <v>449</v>
      </c>
      <c r="J453" s="16">
        <f t="shared" ca="1" si="66"/>
        <v>288</v>
      </c>
      <c r="K453" s="16">
        <f t="shared" ca="1" si="67"/>
        <v>270</v>
      </c>
      <c r="L453" s="16">
        <f t="shared" ca="1" si="68"/>
        <v>0</v>
      </c>
      <c r="M453" s="17">
        <f t="shared" ca="1" si="69"/>
        <v>1350</v>
      </c>
      <c r="N453" s="17">
        <f t="shared" si="70"/>
        <v>-20</v>
      </c>
      <c r="O453" s="17">
        <f t="shared" si="71"/>
        <v>-810</v>
      </c>
      <c r="P453" s="18">
        <f t="shared" ca="1" si="72"/>
        <v>0</v>
      </c>
      <c r="Q453" s="18">
        <f t="shared" ca="1" si="73"/>
        <v>0</v>
      </c>
      <c r="R453" s="19">
        <f t="shared" ca="1" si="74"/>
        <v>520</v>
      </c>
      <c r="S453" s="15">
        <f t="shared" ca="1" si="75"/>
        <v>0</v>
      </c>
    </row>
    <row r="454" spans="9:19">
      <c r="I454" s="15">
        <f t="shared" si="76"/>
        <v>450</v>
      </c>
      <c r="J454" s="16">
        <f t="shared" ref="J454:J503" ca="1" si="77">RANDBETWEEN(120,420)</f>
        <v>346</v>
      </c>
      <c r="K454" s="16">
        <f t="shared" ref="K454:K504" ca="1" si="78">IF(J454&gt;=$D$18,$D$18,J454)</f>
        <v>270</v>
      </c>
      <c r="L454" s="16">
        <f t="shared" ref="L454:L504" ca="1" si="79">$D$18-K454</f>
        <v>0</v>
      </c>
      <c r="M454" s="17">
        <f t="shared" ref="M454:M504" ca="1" si="80">K454*5</f>
        <v>1350</v>
      </c>
      <c r="N454" s="17">
        <f t="shared" ref="N454:N504" si="81">-$D$10</f>
        <v>-20</v>
      </c>
      <c r="O454" s="17">
        <f t="shared" ref="O454:O504" si="82">-$D$6*$D$18</f>
        <v>-810</v>
      </c>
      <c r="P454" s="18">
        <f t="shared" ref="P454:P504" ca="1" si="83">-L454*$D$9</f>
        <v>0</v>
      </c>
      <c r="Q454" s="18">
        <f t="shared" ref="Q454:Q504" ca="1" si="84">L454*($D$6*$D$8)</f>
        <v>0</v>
      </c>
      <c r="R454" s="19">
        <f t="shared" ref="R454:R504" ca="1" si="85">SUM(M454:Q454)</f>
        <v>520</v>
      </c>
      <c r="S454" s="15">
        <f t="shared" ref="S454:S504" ca="1" si="86">IF(R454&lt;0,1,0)</f>
        <v>0</v>
      </c>
    </row>
    <row r="455" spans="9:19">
      <c r="I455" s="15">
        <f t="shared" ref="I455:I503" si="87">I454+1</f>
        <v>451</v>
      </c>
      <c r="J455" s="16">
        <f t="shared" ca="1" si="77"/>
        <v>181</v>
      </c>
      <c r="K455" s="16">
        <f t="shared" ca="1" si="78"/>
        <v>181</v>
      </c>
      <c r="L455" s="16">
        <f t="shared" ca="1" si="79"/>
        <v>89</v>
      </c>
      <c r="M455" s="17">
        <f t="shared" ca="1" si="80"/>
        <v>905</v>
      </c>
      <c r="N455" s="17">
        <f t="shared" si="81"/>
        <v>-20</v>
      </c>
      <c r="O455" s="17">
        <f t="shared" si="82"/>
        <v>-810</v>
      </c>
      <c r="P455" s="18">
        <f t="shared" ca="1" si="83"/>
        <v>-44.5</v>
      </c>
      <c r="Q455" s="18">
        <f t="shared" ca="1" si="84"/>
        <v>133.5</v>
      </c>
      <c r="R455" s="19">
        <f t="shared" ca="1" si="85"/>
        <v>164</v>
      </c>
      <c r="S455" s="15">
        <f t="shared" ca="1" si="86"/>
        <v>0</v>
      </c>
    </row>
    <row r="456" spans="9:19">
      <c r="I456" s="15">
        <f t="shared" si="87"/>
        <v>452</v>
      </c>
      <c r="J456" s="16">
        <f t="shared" ca="1" si="77"/>
        <v>129</v>
      </c>
      <c r="K456" s="16">
        <f t="shared" ca="1" si="78"/>
        <v>129</v>
      </c>
      <c r="L456" s="16">
        <f t="shared" ca="1" si="79"/>
        <v>141</v>
      </c>
      <c r="M456" s="17">
        <f t="shared" ca="1" si="80"/>
        <v>645</v>
      </c>
      <c r="N456" s="17">
        <f t="shared" si="81"/>
        <v>-20</v>
      </c>
      <c r="O456" s="17">
        <f t="shared" si="82"/>
        <v>-810</v>
      </c>
      <c r="P456" s="18">
        <f t="shared" ca="1" si="83"/>
        <v>-70.5</v>
      </c>
      <c r="Q456" s="18">
        <f t="shared" ca="1" si="84"/>
        <v>211.5</v>
      </c>
      <c r="R456" s="19">
        <f t="shared" ca="1" si="85"/>
        <v>-44</v>
      </c>
      <c r="S456" s="15">
        <f t="shared" ca="1" si="86"/>
        <v>1</v>
      </c>
    </row>
    <row r="457" spans="9:19">
      <c r="I457" s="15">
        <f t="shared" si="87"/>
        <v>453</v>
      </c>
      <c r="J457" s="16">
        <f t="shared" ca="1" si="77"/>
        <v>241</v>
      </c>
      <c r="K457" s="16">
        <f t="shared" ca="1" si="78"/>
        <v>241</v>
      </c>
      <c r="L457" s="16">
        <f t="shared" ca="1" si="79"/>
        <v>29</v>
      </c>
      <c r="M457" s="17">
        <f t="shared" ca="1" si="80"/>
        <v>1205</v>
      </c>
      <c r="N457" s="17">
        <f t="shared" si="81"/>
        <v>-20</v>
      </c>
      <c r="O457" s="17">
        <f t="shared" si="82"/>
        <v>-810</v>
      </c>
      <c r="P457" s="18">
        <f t="shared" ca="1" si="83"/>
        <v>-14.5</v>
      </c>
      <c r="Q457" s="18">
        <f t="shared" ca="1" si="84"/>
        <v>43.5</v>
      </c>
      <c r="R457" s="19">
        <f t="shared" ca="1" si="85"/>
        <v>404</v>
      </c>
      <c r="S457" s="15">
        <f t="shared" ca="1" si="86"/>
        <v>0</v>
      </c>
    </row>
    <row r="458" spans="9:19">
      <c r="I458" s="15">
        <f t="shared" si="87"/>
        <v>454</v>
      </c>
      <c r="J458" s="16">
        <f t="shared" ca="1" si="77"/>
        <v>123</v>
      </c>
      <c r="K458" s="16">
        <f t="shared" ca="1" si="78"/>
        <v>123</v>
      </c>
      <c r="L458" s="16">
        <f t="shared" ca="1" si="79"/>
        <v>147</v>
      </c>
      <c r="M458" s="17">
        <f t="shared" ca="1" si="80"/>
        <v>615</v>
      </c>
      <c r="N458" s="17">
        <f t="shared" si="81"/>
        <v>-20</v>
      </c>
      <c r="O458" s="17">
        <f t="shared" si="82"/>
        <v>-810</v>
      </c>
      <c r="P458" s="18">
        <f t="shared" ca="1" si="83"/>
        <v>-73.5</v>
      </c>
      <c r="Q458" s="18">
        <f t="shared" ca="1" si="84"/>
        <v>220.5</v>
      </c>
      <c r="R458" s="19">
        <f t="shared" ca="1" si="85"/>
        <v>-68</v>
      </c>
      <c r="S458" s="15">
        <f t="shared" ca="1" si="86"/>
        <v>1</v>
      </c>
    </row>
    <row r="459" spans="9:19">
      <c r="I459" s="15">
        <f t="shared" si="87"/>
        <v>455</v>
      </c>
      <c r="J459" s="16">
        <f t="shared" ca="1" si="77"/>
        <v>221</v>
      </c>
      <c r="K459" s="16">
        <f t="shared" ca="1" si="78"/>
        <v>221</v>
      </c>
      <c r="L459" s="16">
        <f t="shared" ca="1" si="79"/>
        <v>49</v>
      </c>
      <c r="M459" s="17">
        <f t="shared" ca="1" si="80"/>
        <v>1105</v>
      </c>
      <c r="N459" s="17">
        <f t="shared" si="81"/>
        <v>-20</v>
      </c>
      <c r="O459" s="17">
        <f t="shared" si="82"/>
        <v>-810</v>
      </c>
      <c r="P459" s="18">
        <f t="shared" ca="1" si="83"/>
        <v>-24.5</v>
      </c>
      <c r="Q459" s="18">
        <f t="shared" ca="1" si="84"/>
        <v>73.5</v>
      </c>
      <c r="R459" s="19">
        <f t="shared" ca="1" si="85"/>
        <v>324</v>
      </c>
      <c r="S459" s="15">
        <f t="shared" ca="1" si="86"/>
        <v>0</v>
      </c>
    </row>
    <row r="460" spans="9:19">
      <c r="I460" s="15">
        <f t="shared" si="87"/>
        <v>456</v>
      </c>
      <c r="J460" s="16">
        <f t="shared" ca="1" si="77"/>
        <v>155</v>
      </c>
      <c r="K460" s="16">
        <f t="shared" ca="1" si="78"/>
        <v>155</v>
      </c>
      <c r="L460" s="16">
        <f t="shared" ca="1" si="79"/>
        <v>115</v>
      </c>
      <c r="M460" s="17">
        <f t="shared" ca="1" si="80"/>
        <v>775</v>
      </c>
      <c r="N460" s="17">
        <f t="shared" si="81"/>
        <v>-20</v>
      </c>
      <c r="O460" s="17">
        <f t="shared" si="82"/>
        <v>-810</v>
      </c>
      <c r="P460" s="18">
        <f t="shared" ca="1" si="83"/>
        <v>-57.5</v>
      </c>
      <c r="Q460" s="18">
        <f t="shared" ca="1" si="84"/>
        <v>172.5</v>
      </c>
      <c r="R460" s="19">
        <f t="shared" ca="1" si="85"/>
        <v>60</v>
      </c>
      <c r="S460" s="15">
        <f t="shared" ca="1" si="86"/>
        <v>0</v>
      </c>
    </row>
    <row r="461" spans="9:19">
      <c r="I461" s="15">
        <f t="shared" si="87"/>
        <v>457</v>
      </c>
      <c r="J461" s="16">
        <f t="shared" ca="1" si="77"/>
        <v>303</v>
      </c>
      <c r="K461" s="16">
        <f t="shared" ca="1" si="78"/>
        <v>270</v>
      </c>
      <c r="L461" s="16">
        <f t="shared" ca="1" si="79"/>
        <v>0</v>
      </c>
      <c r="M461" s="17">
        <f t="shared" ca="1" si="80"/>
        <v>1350</v>
      </c>
      <c r="N461" s="17">
        <f t="shared" si="81"/>
        <v>-20</v>
      </c>
      <c r="O461" s="17">
        <f t="shared" si="82"/>
        <v>-810</v>
      </c>
      <c r="P461" s="18">
        <f t="shared" ca="1" si="83"/>
        <v>0</v>
      </c>
      <c r="Q461" s="18">
        <f t="shared" ca="1" si="84"/>
        <v>0</v>
      </c>
      <c r="R461" s="19">
        <f t="shared" ca="1" si="85"/>
        <v>520</v>
      </c>
      <c r="S461" s="15">
        <f t="shared" ca="1" si="86"/>
        <v>0</v>
      </c>
    </row>
    <row r="462" spans="9:19">
      <c r="I462" s="15">
        <f t="shared" si="87"/>
        <v>458</v>
      </c>
      <c r="J462" s="16">
        <f t="shared" ca="1" si="77"/>
        <v>384</v>
      </c>
      <c r="K462" s="16">
        <f t="shared" ca="1" si="78"/>
        <v>270</v>
      </c>
      <c r="L462" s="16">
        <f t="shared" ca="1" si="79"/>
        <v>0</v>
      </c>
      <c r="M462" s="17">
        <f t="shared" ca="1" si="80"/>
        <v>1350</v>
      </c>
      <c r="N462" s="17">
        <f t="shared" si="81"/>
        <v>-20</v>
      </c>
      <c r="O462" s="17">
        <f t="shared" si="82"/>
        <v>-810</v>
      </c>
      <c r="P462" s="18">
        <f t="shared" ca="1" si="83"/>
        <v>0</v>
      </c>
      <c r="Q462" s="18">
        <f t="shared" ca="1" si="84"/>
        <v>0</v>
      </c>
      <c r="R462" s="19">
        <f t="shared" ca="1" si="85"/>
        <v>520</v>
      </c>
      <c r="S462" s="15">
        <f t="shared" ca="1" si="86"/>
        <v>0</v>
      </c>
    </row>
    <row r="463" spans="9:19">
      <c r="I463" s="15">
        <f t="shared" si="87"/>
        <v>459</v>
      </c>
      <c r="J463" s="16">
        <f t="shared" ca="1" si="77"/>
        <v>215</v>
      </c>
      <c r="K463" s="16">
        <f t="shared" ca="1" si="78"/>
        <v>215</v>
      </c>
      <c r="L463" s="16">
        <f t="shared" ca="1" si="79"/>
        <v>55</v>
      </c>
      <c r="M463" s="17">
        <f t="shared" ca="1" si="80"/>
        <v>1075</v>
      </c>
      <c r="N463" s="17">
        <f t="shared" si="81"/>
        <v>-20</v>
      </c>
      <c r="O463" s="17">
        <f t="shared" si="82"/>
        <v>-810</v>
      </c>
      <c r="P463" s="18">
        <f t="shared" ca="1" si="83"/>
        <v>-27.5</v>
      </c>
      <c r="Q463" s="18">
        <f t="shared" ca="1" si="84"/>
        <v>82.5</v>
      </c>
      <c r="R463" s="19">
        <f t="shared" ca="1" si="85"/>
        <v>300</v>
      </c>
      <c r="S463" s="15">
        <f t="shared" ca="1" si="86"/>
        <v>0</v>
      </c>
    </row>
    <row r="464" spans="9:19">
      <c r="I464" s="15">
        <f t="shared" si="87"/>
        <v>460</v>
      </c>
      <c r="J464" s="16">
        <f t="shared" ca="1" si="77"/>
        <v>283</v>
      </c>
      <c r="K464" s="16">
        <f t="shared" ca="1" si="78"/>
        <v>270</v>
      </c>
      <c r="L464" s="16">
        <f t="shared" ca="1" si="79"/>
        <v>0</v>
      </c>
      <c r="M464" s="17">
        <f t="shared" ca="1" si="80"/>
        <v>1350</v>
      </c>
      <c r="N464" s="17">
        <f t="shared" si="81"/>
        <v>-20</v>
      </c>
      <c r="O464" s="17">
        <f t="shared" si="82"/>
        <v>-810</v>
      </c>
      <c r="P464" s="18">
        <f t="shared" ca="1" si="83"/>
        <v>0</v>
      </c>
      <c r="Q464" s="18">
        <f t="shared" ca="1" si="84"/>
        <v>0</v>
      </c>
      <c r="R464" s="19">
        <f t="shared" ca="1" si="85"/>
        <v>520</v>
      </c>
      <c r="S464" s="15">
        <f t="shared" ca="1" si="86"/>
        <v>0</v>
      </c>
    </row>
    <row r="465" spans="9:19">
      <c r="I465" s="15">
        <f t="shared" si="87"/>
        <v>461</v>
      </c>
      <c r="J465" s="16">
        <f t="shared" ca="1" si="77"/>
        <v>314</v>
      </c>
      <c r="K465" s="16">
        <f t="shared" ca="1" si="78"/>
        <v>270</v>
      </c>
      <c r="L465" s="16">
        <f t="shared" ca="1" si="79"/>
        <v>0</v>
      </c>
      <c r="M465" s="17">
        <f t="shared" ca="1" si="80"/>
        <v>1350</v>
      </c>
      <c r="N465" s="17">
        <f t="shared" si="81"/>
        <v>-20</v>
      </c>
      <c r="O465" s="17">
        <f t="shared" si="82"/>
        <v>-810</v>
      </c>
      <c r="P465" s="18">
        <f t="shared" ca="1" si="83"/>
        <v>0</v>
      </c>
      <c r="Q465" s="18">
        <f t="shared" ca="1" si="84"/>
        <v>0</v>
      </c>
      <c r="R465" s="19">
        <f t="shared" ca="1" si="85"/>
        <v>520</v>
      </c>
      <c r="S465" s="15">
        <f t="shared" ca="1" si="86"/>
        <v>0</v>
      </c>
    </row>
    <row r="466" spans="9:19">
      <c r="I466" s="15">
        <f t="shared" si="87"/>
        <v>462</v>
      </c>
      <c r="J466" s="16">
        <f t="shared" ca="1" si="77"/>
        <v>343</v>
      </c>
      <c r="K466" s="16">
        <f t="shared" ca="1" si="78"/>
        <v>270</v>
      </c>
      <c r="L466" s="16">
        <f t="shared" ca="1" si="79"/>
        <v>0</v>
      </c>
      <c r="M466" s="17">
        <f t="shared" ca="1" si="80"/>
        <v>1350</v>
      </c>
      <c r="N466" s="17">
        <f t="shared" si="81"/>
        <v>-20</v>
      </c>
      <c r="O466" s="17">
        <f t="shared" si="82"/>
        <v>-810</v>
      </c>
      <c r="P466" s="18">
        <f t="shared" ca="1" si="83"/>
        <v>0</v>
      </c>
      <c r="Q466" s="18">
        <f t="shared" ca="1" si="84"/>
        <v>0</v>
      </c>
      <c r="R466" s="19">
        <f t="shared" ca="1" si="85"/>
        <v>520</v>
      </c>
      <c r="S466" s="15">
        <f t="shared" ca="1" si="86"/>
        <v>0</v>
      </c>
    </row>
    <row r="467" spans="9:19">
      <c r="I467" s="15">
        <f t="shared" si="87"/>
        <v>463</v>
      </c>
      <c r="J467" s="16">
        <f t="shared" ca="1" si="77"/>
        <v>382</v>
      </c>
      <c r="K467" s="16">
        <f t="shared" ca="1" si="78"/>
        <v>270</v>
      </c>
      <c r="L467" s="16">
        <f t="shared" ca="1" si="79"/>
        <v>0</v>
      </c>
      <c r="M467" s="17">
        <f t="shared" ca="1" si="80"/>
        <v>1350</v>
      </c>
      <c r="N467" s="17">
        <f t="shared" si="81"/>
        <v>-20</v>
      </c>
      <c r="O467" s="17">
        <f t="shared" si="82"/>
        <v>-810</v>
      </c>
      <c r="P467" s="18">
        <f t="shared" ca="1" si="83"/>
        <v>0</v>
      </c>
      <c r="Q467" s="18">
        <f t="shared" ca="1" si="84"/>
        <v>0</v>
      </c>
      <c r="R467" s="19">
        <f t="shared" ca="1" si="85"/>
        <v>520</v>
      </c>
      <c r="S467" s="15">
        <f t="shared" ca="1" si="86"/>
        <v>0</v>
      </c>
    </row>
    <row r="468" spans="9:19">
      <c r="I468" s="15">
        <f t="shared" si="87"/>
        <v>464</v>
      </c>
      <c r="J468" s="16">
        <f t="shared" ca="1" si="77"/>
        <v>381</v>
      </c>
      <c r="K468" s="16">
        <f t="shared" ca="1" si="78"/>
        <v>270</v>
      </c>
      <c r="L468" s="16">
        <f t="shared" ca="1" si="79"/>
        <v>0</v>
      </c>
      <c r="M468" s="17">
        <f t="shared" ca="1" si="80"/>
        <v>1350</v>
      </c>
      <c r="N468" s="17">
        <f t="shared" si="81"/>
        <v>-20</v>
      </c>
      <c r="O468" s="17">
        <f t="shared" si="82"/>
        <v>-810</v>
      </c>
      <c r="P468" s="18">
        <f t="shared" ca="1" si="83"/>
        <v>0</v>
      </c>
      <c r="Q468" s="18">
        <f t="shared" ca="1" si="84"/>
        <v>0</v>
      </c>
      <c r="R468" s="19">
        <f t="shared" ca="1" si="85"/>
        <v>520</v>
      </c>
      <c r="S468" s="15">
        <f t="shared" ca="1" si="86"/>
        <v>0</v>
      </c>
    </row>
    <row r="469" spans="9:19">
      <c r="I469" s="15">
        <f t="shared" si="87"/>
        <v>465</v>
      </c>
      <c r="J469" s="16">
        <f t="shared" ca="1" si="77"/>
        <v>371</v>
      </c>
      <c r="K469" s="16">
        <f t="shared" ca="1" si="78"/>
        <v>270</v>
      </c>
      <c r="L469" s="16">
        <f t="shared" ca="1" si="79"/>
        <v>0</v>
      </c>
      <c r="M469" s="17">
        <f t="shared" ca="1" si="80"/>
        <v>1350</v>
      </c>
      <c r="N469" s="17">
        <f t="shared" si="81"/>
        <v>-20</v>
      </c>
      <c r="O469" s="17">
        <f t="shared" si="82"/>
        <v>-810</v>
      </c>
      <c r="P469" s="18">
        <f t="shared" ca="1" si="83"/>
        <v>0</v>
      </c>
      <c r="Q469" s="18">
        <f t="shared" ca="1" si="84"/>
        <v>0</v>
      </c>
      <c r="R469" s="19">
        <f t="shared" ca="1" si="85"/>
        <v>520</v>
      </c>
      <c r="S469" s="15">
        <f t="shared" ca="1" si="86"/>
        <v>0</v>
      </c>
    </row>
    <row r="470" spans="9:19">
      <c r="I470" s="15">
        <f t="shared" si="87"/>
        <v>466</v>
      </c>
      <c r="J470" s="16">
        <f t="shared" ca="1" si="77"/>
        <v>273</v>
      </c>
      <c r="K470" s="16">
        <f t="shared" ca="1" si="78"/>
        <v>270</v>
      </c>
      <c r="L470" s="16">
        <f t="shared" ca="1" si="79"/>
        <v>0</v>
      </c>
      <c r="M470" s="17">
        <f t="shared" ca="1" si="80"/>
        <v>1350</v>
      </c>
      <c r="N470" s="17">
        <f t="shared" si="81"/>
        <v>-20</v>
      </c>
      <c r="O470" s="17">
        <f t="shared" si="82"/>
        <v>-810</v>
      </c>
      <c r="P470" s="18">
        <f t="shared" ca="1" si="83"/>
        <v>0</v>
      </c>
      <c r="Q470" s="18">
        <f t="shared" ca="1" si="84"/>
        <v>0</v>
      </c>
      <c r="R470" s="19">
        <f t="shared" ca="1" si="85"/>
        <v>520</v>
      </c>
      <c r="S470" s="15">
        <f t="shared" ca="1" si="86"/>
        <v>0</v>
      </c>
    </row>
    <row r="471" spans="9:19">
      <c r="I471" s="15">
        <f t="shared" si="87"/>
        <v>467</v>
      </c>
      <c r="J471" s="16">
        <f t="shared" ca="1" si="77"/>
        <v>359</v>
      </c>
      <c r="K471" s="16">
        <f t="shared" ca="1" si="78"/>
        <v>270</v>
      </c>
      <c r="L471" s="16">
        <f t="shared" ca="1" si="79"/>
        <v>0</v>
      </c>
      <c r="M471" s="17">
        <f t="shared" ca="1" si="80"/>
        <v>1350</v>
      </c>
      <c r="N471" s="17">
        <f t="shared" si="81"/>
        <v>-20</v>
      </c>
      <c r="O471" s="17">
        <f t="shared" si="82"/>
        <v>-810</v>
      </c>
      <c r="P471" s="18">
        <f t="shared" ca="1" si="83"/>
        <v>0</v>
      </c>
      <c r="Q471" s="18">
        <f t="shared" ca="1" si="84"/>
        <v>0</v>
      </c>
      <c r="R471" s="19">
        <f t="shared" ca="1" si="85"/>
        <v>520</v>
      </c>
      <c r="S471" s="15">
        <f t="shared" ca="1" si="86"/>
        <v>0</v>
      </c>
    </row>
    <row r="472" spans="9:19">
      <c r="I472" s="15">
        <f t="shared" si="87"/>
        <v>468</v>
      </c>
      <c r="J472" s="16">
        <f t="shared" ca="1" si="77"/>
        <v>298</v>
      </c>
      <c r="K472" s="16">
        <f t="shared" ca="1" si="78"/>
        <v>270</v>
      </c>
      <c r="L472" s="16">
        <f t="shared" ca="1" si="79"/>
        <v>0</v>
      </c>
      <c r="M472" s="17">
        <f t="shared" ca="1" si="80"/>
        <v>1350</v>
      </c>
      <c r="N472" s="17">
        <f t="shared" si="81"/>
        <v>-20</v>
      </c>
      <c r="O472" s="17">
        <f t="shared" si="82"/>
        <v>-810</v>
      </c>
      <c r="P472" s="18">
        <f t="shared" ca="1" si="83"/>
        <v>0</v>
      </c>
      <c r="Q472" s="18">
        <f t="shared" ca="1" si="84"/>
        <v>0</v>
      </c>
      <c r="R472" s="19">
        <f t="shared" ca="1" si="85"/>
        <v>520</v>
      </c>
      <c r="S472" s="15">
        <f t="shared" ca="1" si="86"/>
        <v>0</v>
      </c>
    </row>
    <row r="473" spans="9:19">
      <c r="I473" s="15">
        <f t="shared" si="87"/>
        <v>469</v>
      </c>
      <c r="J473" s="16">
        <f t="shared" ca="1" si="77"/>
        <v>417</v>
      </c>
      <c r="K473" s="16">
        <f t="shared" ca="1" si="78"/>
        <v>270</v>
      </c>
      <c r="L473" s="16">
        <f t="shared" ca="1" si="79"/>
        <v>0</v>
      </c>
      <c r="M473" s="17">
        <f t="shared" ca="1" si="80"/>
        <v>1350</v>
      </c>
      <c r="N473" s="17">
        <f t="shared" si="81"/>
        <v>-20</v>
      </c>
      <c r="O473" s="17">
        <f t="shared" si="82"/>
        <v>-810</v>
      </c>
      <c r="P473" s="18">
        <f t="shared" ca="1" si="83"/>
        <v>0</v>
      </c>
      <c r="Q473" s="18">
        <f t="shared" ca="1" si="84"/>
        <v>0</v>
      </c>
      <c r="R473" s="19">
        <f t="shared" ca="1" si="85"/>
        <v>520</v>
      </c>
      <c r="S473" s="15">
        <f t="shared" ca="1" si="86"/>
        <v>0</v>
      </c>
    </row>
    <row r="474" spans="9:19">
      <c r="I474" s="15">
        <f t="shared" si="87"/>
        <v>470</v>
      </c>
      <c r="J474" s="16">
        <f t="shared" ca="1" si="77"/>
        <v>128</v>
      </c>
      <c r="K474" s="16">
        <f t="shared" ca="1" si="78"/>
        <v>128</v>
      </c>
      <c r="L474" s="16">
        <f t="shared" ca="1" si="79"/>
        <v>142</v>
      </c>
      <c r="M474" s="17">
        <f t="shared" ca="1" si="80"/>
        <v>640</v>
      </c>
      <c r="N474" s="17">
        <f t="shared" si="81"/>
        <v>-20</v>
      </c>
      <c r="O474" s="17">
        <f t="shared" si="82"/>
        <v>-810</v>
      </c>
      <c r="P474" s="18">
        <f t="shared" ca="1" si="83"/>
        <v>-71</v>
      </c>
      <c r="Q474" s="18">
        <f t="shared" ca="1" si="84"/>
        <v>213</v>
      </c>
      <c r="R474" s="19">
        <f t="shared" ca="1" si="85"/>
        <v>-48</v>
      </c>
      <c r="S474" s="15">
        <f t="shared" ca="1" si="86"/>
        <v>1</v>
      </c>
    </row>
    <row r="475" spans="9:19">
      <c r="I475" s="15">
        <f t="shared" si="87"/>
        <v>471</v>
      </c>
      <c r="J475" s="16">
        <f t="shared" ca="1" si="77"/>
        <v>385</v>
      </c>
      <c r="K475" s="16">
        <f t="shared" ca="1" si="78"/>
        <v>270</v>
      </c>
      <c r="L475" s="16">
        <f t="shared" ca="1" si="79"/>
        <v>0</v>
      </c>
      <c r="M475" s="17">
        <f t="shared" ca="1" si="80"/>
        <v>1350</v>
      </c>
      <c r="N475" s="17">
        <f t="shared" si="81"/>
        <v>-20</v>
      </c>
      <c r="O475" s="17">
        <f t="shared" si="82"/>
        <v>-810</v>
      </c>
      <c r="P475" s="18">
        <f t="shared" ca="1" si="83"/>
        <v>0</v>
      </c>
      <c r="Q475" s="18">
        <f t="shared" ca="1" si="84"/>
        <v>0</v>
      </c>
      <c r="R475" s="19">
        <f t="shared" ca="1" si="85"/>
        <v>520</v>
      </c>
      <c r="S475" s="15">
        <f t="shared" ca="1" si="86"/>
        <v>0</v>
      </c>
    </row>
    <row r="476" spans="9:19">
      <c r="I476" s="15">
        <f t="shared" si="87"/>
        <v>472</v>
      </c>
      <c r="J476" s="16">
        <f t="shared" ca="1" si="77"/>
        <v>297</v>
      </c>
      <c r="K476" s="16">
        <f t="shared" ca="1" si="78"/>
        <v>270</v>
      </c>
      <c r="L476" s="16">
        <f t="shared" ca="1" si="79"/>
        <v>0</v>
      </c>
      <c r="M476" s="17">
        <f t="shared" ca="1" si="80"/>
        <v>1350</v>
      </c>
      <c r="N476" s="17">
        <f t="shared" si="81"/>
        <v>-20</v>
      </c>
      <c r="O476" s="17">
        <f t="shared" si="82"/>
        <v>-810</v>
      </c>
      <c r="P476" s="18">
        <f t="shared" ca="1" si="83"/>
        <v>0</v>
      </c>
      <c r="Q476" s="18">
        <f t="shared" ca="1" si="84"/>
        <v>0</v>
      </c>
      <c r="R476" s="19">
        <f t="shared" ca="1" si="85"/>
        <v>520</v>
      </c>
      <c r="S476" s="15">
        <f t="shared" ca="1" si="86"/>
        <v>0</v>
      </c>
    </row>
    <row r="477" spans="9:19">
      <c r="I477" s="15">
        <f t="shared" si="87"/>
        <v>473</v>
      </c>
      <c r="J477" s="16">
        <f t="shared" ca="1" si="77"/>
        <v>125</v>
      </c>
      <c r="K477" s="16">
        <f t="shared" ca="1" si="78"/>
        <v>125</v>
      </c>
      <c r="L477" s="16">
        <f t="shared" ca="1" si="79"/>
        <v>145</v>
      </c>
      <c r="M477" s="17">
        <f t="shared" ca="1" si="80"/>
        <v>625</v>
      </c>
      <c r="N477" s="17">
        <f t="shared" si="81"/>
        <v>-20</v>
      </c>
      <c r="O477" s="17">
        <f t="shared" si="82"/>
        <v>-810</v>
      </c>
      <c r="P477" s="18">
        <f t="shared" ca="1" si="83"/>
        <v>-72.5</v>
      </c>
      <c r="Q477" s="18">
        <f t="shared" ca="1" si="84"/>
        <v>217.5</v>
      </c>
      <c r="R477" s="19">
        <f t="shared" ca="1" si="85"/>
        <v>-60</v>
      </c>
      <c r="S477" s="15">
        <f t="shared" ca="1" si="86"/>
        <v>1</v>
      </c>
    </row>
    <row r="478" spans="9:19">
      <c r="I478" s="15">
        <f t="shared" si="87"/>
        <v>474</v>
      </c>
      <c r="J478" s="16">
        <f t="shared" ca="1" si="77"/>
        <v>266</v>
      </c>
      <c r="K478" s="16">
        <f t="shared" ca="1" si="78"/>
        <v>266</v>
      </c>
      <c r="L478" s="16">
        <f t="shared" ca="1" si="79"/>
        <v>4</v>
      </c>
      <c r="M478" s="17">
        <f t="shared" ca="1" si="80"/>
        <v>1330</v>
      </c>
      <c r="N478" s="17">
        <f t="shared" si="81"/>
        <v>-20</v>
      </c>
      <c r="O478" s="17">
        <f t="shared" si="82"/>
        <v>-810</v>
      </c>
      <c r="P478" s="18">
        <f t="shared" ca="1" si="83"/>
        <v>-2</v>
      </c>
      <c r="Q478" s="18">
        <f t="shared" ca="1" si="84"/>
        <v>6</v>
      </c>
      <c r="R478" s="19">
        <f t="shared" ca="1" si="85"/>
        <v>504</v>
      </c>
      <c r="S478" s="15">
        <f t="shared" ca="1" si="86"/>
        <v>0</v>
      </c>
    </row>
    <row r="479" spans="9:19">
      <c r="I479" s="15">
        <f t="shared" si="87"/>
        <v>475</v>
      </c>
      <c r="J479" s="16">
        <f t="shared" ca="1" si="77"/>
        <v>378</v>
      </c>
      <c r="K479" s="16">
        <f t="shared" ca="1" si="78"/>
        <v>270</v>
      </c>
      <c r="L479" s="16">
        <f t="shared" ca="1" si="79"/>
        <v>0</v>
      </c>
      <c r="M479" s="17">
        <f t="shared" ca="1" si="80"/>
        <v>1350</v>
      </c>
      <c r="N479" s="17">
        <f t="shared" si="81"/>
        <v>-20</v>
      </c>
      <c r="O479" s="17">
        <f t="shared" si="82"/>
        <v>-810</v>
      </c>
      <c r="P479" s="18">
        <f t="shared" ca="1" si="83"/>
        <v>0</v>
      </c>
      <c r="Q479" s="18">
        <f t="shared" ca="1" si="84"/>
        <v>0</v>
      </c>
      <c r="R479" s="19">
        <f t="shared" ca="1" si="85"/>
        <v>520</v>
      </c>
      <c r="S479" s="15">
        <f t="shared" ca="1" si="86"/>
        <v>0</v>
      </c>
    </row>
    <row r="480" spans="9:19">
      <c r="I480" s="15">
        <f t="shared" si="87"/>
        <v>476</v>
      </c>
      <c r="J480" s="16">
        <f t="shared" ca="1" si="77"/>
        <v>191</v>
      </c>
      <c r="K480" s="16">
        <f t="shared" ca="1" si="78"/>
        <v>191</v>
      </c>
      <c r="L480" s="16">
        <f t="shared" ca="1" si="79"/>
        <v>79</v>
      </c>
      <c r="M480" s="17">
        <f t="shared" ca="1" si="80"/>
        <v>955</v>
      </c>
      <c r="N480" s="17">
        <f t="shared" si="81"/>
        <v>-20</v>
      </c>
      <c r="O480" s="17">
        <f t="shared" si="82"/>
        <v>-810</v>
      </c>
      <c r="P480" s="18">
        <f t="shared" ca="1" si="83"/>
        <v>-39.5</v>
      </c>
      <c r="Q480" s="18">
        <f t="shared" ca="1" si="84"/>
        <v>118.5</v>
      </c>
      <c r="R480" s="19">
        <f t="shared" ca="1" si="85"/>
        <v>204</v>
      </c>
      <c r="S480" s="15">
        <f t="shared" ca="1" si="86"/>
        <v>0</v>
      </c>
    </row>
    <row r="481" spans="9:19">
      <c r="I481" s="15">
        <f t="shared" si="87"/>
        <v>477</v>
      </c>
      <c r="J481" s="16">
        <f t="shared" ca="1" si="77"/>
        <v>154</v>
      </c>
      <c r="K481" s="16">
        <f t="shared" ca="1" si="78"/>
        <v>154</v>
      </c>
      <c r="L481" s="16">
        <f t="shared" ca="1" si="79"/>
        <v>116</v>
      </c>
      <c r="M481" s="17">
        <f t="shared" ca="1" si="80"/>
        <v>770</v>
      </c>
      <c r="N481" s="17">
        <f t="shared" si="81"/>
        <v>-20</v>
      </c>
      <c r="O481" s="17">
        <f t="shared" si="82"/>
        <v>-810</v>
      </c>
      <c r="P481" s="18">
        <f t="shared" ca="1" si="83"/>
        <v>-58</v>
      </c>
      <c r="Q481" s="18">
        <f t="shared" ca="1" si="84"/>
        <v>174</v>
      </c>
      <c r="R481" s="19">
        <f t="shared" ca="1" si="85"/>
        <v>56</v>
      </c>
      <c r="S481" s="15">
        <f t="shared" ca="1" si="86"/>
        <v>0</v>
      </c>
    </row>
    <row r="482" spans="9:19">
      <c r="I482" s="15">
        <f t="shared" si="87"/>
        <v>478</v>
      </c>
      <c r="J482" s="16">
        <f t="shared" ca="1" si="77"/>
        <v>140</v>
      </c>
      <c r="K482" s="16">
        <f t="shared" ca="1" si="78"/>
        <v>140</v>
      </c>
      <c r="L482" s="16">
        <f t="shared" ca="1" si="79"/>
        <v>130</v>
      </c>
      <c r="M482" s="17">
        <f t="shared" ca="1" si="80"/>
        <v>700</v>
      </c>
      <c r="N482" s="17">
        <f t="shared" si="81"/>
        <v>-20</v>
      </c>
      <c r="O482" s="17">
        <f t="shared" si="82"/>
        <v>-810</v>
      </c>
      <c r="P482" s="18">
        <f t="shared" ca="1" si="83"/>
        <v>-65</v>
      </c>
      <c r="Q482" s="18">
        <f t="shared" ca="1" si="84"/>
        <v>195</v>
      </c>
      <c r="R482" s="19">
        <f t="shared" ca="1" si="85"/>
        <v>0</v>
      </c>
      <c r="S482" s="15">
        <f t="shared" ca="1" si="86"/>
        <v>0</v>
      </c>
    </row>
    <row r="483" spans="9:19">
      <c r="I483" s="15">
        <f t="shared" si="87"/>
        <v>479</v>
      </c>
      <c r="J483" s="16">
        <f t="shared" ca="1" si="77"/>
        <v>196</v>
      </c>
      <c r="K483" s="16">
        <f t="shared" ca="1" si="78"/>
        <v>196</v>
      </c>
      <c r="L483" s="16">
        <f t="shared" ca="1" si="79"/>
        <v>74</v>
      </c>
      <c r="M483" s="17">
        <f t="shared" ca="1" si="80"/>
        <v>980</v>
      </c>
      <c r="N483" s="17">
        <f t="shared" si="81"/>
        <v>-20</v>
      </c>
      <c r="O483" s="17">
        <f t="shared" si="82"/>
        <v>-810</v>
      </c>
      <c r="P483" s="18">
        <f t="shared" ca="1" si="83"/>
        <v>-37</v>
      </c>
      <c r="Q483" s="18">
        <f t="shared" ca="1" si="84"/>
        <v>111</v>
      </c>
      <c r="R483" s="19">
        <f t="shared" ca="1" si="85"/>
        <v>224</v>
      </c>
      <c r="S483" s="15">
        <f t="shared" ca="1" si="86"/>
        <v>0</v>
      </c>
    </row>
    <row r="484" spans="9:19">
      <c r="I484" s="15">
        <f t="shared" si="87"/>
        <v>480</v>
      </c>
      <c r="J484" s="16">
        <f t="shared" ca="1" si="77"/>
        <v>205</v>
      </c>
      <c r="K484" s="16">
        <f t="shared" ca="1" si="78"/>
        <v>205</v>
      </c>
      <c r="L484" s="16">
        <f t="shared" ca="1" si="79"/>
        <v>65</v>
      </c>
      <c r="M484" s="17">
        <f t="shared" ca="1" si="80"/>
        <v>1025</v>
      </c>
      <c r="N484" s="17">
        <f t="shared" si="81"/>
        <v>-20</v>
      </c>
      <c r="O484" s="17">
        <f t="shared" si="82"/>
        <v>-810</v>
      </c>
      <c r="P484" s="18">
        <f t="shared" ca="1" si="83"/>
        <v>-32.5</v>
      </c>
      <c r="Q484" s="18">
        <f t="shared" ca="1" si="84"/>
        <v>97.5</v>
      </c>
      <c r="R484" s="19">
        <f t="shared" ca="1" si="85"/>
        <v>260</v>
      </c>
      <c r="S484" s="15">
        <f t="shared" ca="1" si="86"/>
        <v>0</v>
      </c>
    </row>
    <row r="485" spans="9:19">
      <c r="I485" s="15">
        <f t="shared" si="87"/>
        <v>481</v>
      </c>
      <c r="J485" s="16">
        <f t="shared" ca="1" si="77"/>
        <v>355</v>
      </c>
      <c r="K485" s="16">
        <f t="shared" ca="1" si="78"/>
        <v>270</v>
      </c>
      <c r="L485" s="16">
        <f t="shared" ca="1" si="79"/>
        <v>0</v>
      </c>
      <c r="M485" s="17">
        <f t="shared" ca="1" si="80"/>
        <v>1350</v>
      </c>
      <c r="N485" s="17">
        <f t="shared" si="81"/>
        <v>-20</v>
      </c>
      <c r="O485" s="17">
        <f t="shared" si="82"/>
        <v>-810</v>
      </c>
      <c r="P485" s="18">
        <f t="shared" ca="1" si="83"/>
        <v>0</v>
      </c>
      <c r="Q485" s="18">
        <f t="shared" ca="1" si="84"/>
        <v>0</v>
      </c>
      <c r="R485" s="19">
        <f t="shared" ca="1" si="85"/>
        <v>520</v>
      </c>
      <c r="S485" s="15">
        <f t="shared" ca="1" si="86"/>
        <v>0</v>
      </c>
    </row>
    <row r="486" spans="9:19">
      <c r="I486" s="15">
        <f t="shared" si="87"/>
        <v>482</v>
      </c>
      <c r="J486" s="16">
        <f t="shared" ca="1" si="77"/>
        <v>376</v>
      </c>
      <c r="K486" s="16">
        <f t="shared" ca="1" si="78"/>
        <v>270</v>
      </c>
      <c r="L486" s="16">
        <f t="shared" ca="1" si="79"/>
        <v>0</v>
      </c>
      <c r="M486" s="17">
        <f t="shared" ca="1" si="80"/>
        <v>1350</v>
      </c>
      <c r="N486" s="17">
        <f t="shared" si="81"/>
        <v>-20</v>
      </c>
      <c r="O486" s="17">
        <f t="shared" si="82"/>
        <v>-810</v>
      </c>
      <c r="P486" s="18">
        <f t="shared" ca="1" si="83"/>
        <v>0</v>
      </c>
      <c r="Q486" s="18">
        <f t="shared" ca="1" si="84"/>
        <v>0</v>
      </c>
      <c r="R486" s="19">
        <f t="shared" ca="1" si="85"/>
        <v>520</v>
      </c>
      <c r="S486" s="15">
        <f t="shared" ca="1" si="86"/>
        <v>0</v>
      </c>
    </row>
    <row r="487" spans="9:19">
      <c r="I487" s="15">
        <f t="shared" si="87"/>
        <v>483</v>
      </c>
      <c r="J487" s="16">
        <f t="shared" ca="1" si="77"/>
        <v>120</v>
      </c>
      <c r="K487" s="16">
        <f t="shared" ca="1" si="78"/>
        <v>120</v>
      </c>
      <c r="L487" s="16">
        <f t="shared" ca="1" si="79"/>
        <v>150</v>
      </c>
      <c r="M487" s="17">
        <f t="shared" ca="1" si="80"/>
        <v>600</v>
      </c>
      <c r="N487" s="17">
        <f t="shared" si="81"/>
        <v>-20</v>
      </c>
      <c r="O487" s="17">
        <f t="shared" si="82"/>
        <v>-810</v>
      </c>
      <c r="P487" s="18">
        <f t="shared" ca="1" si="83"/>
        <v>-75</v>
      </c>
      <c r="Q487" s="18">
        <f t="shared" ca="1" si="84"/>
        <v>225</v>
      </c>
      <c r="R487" s="19">
        <f t="shared" ca="1" si="85"/>
        <v>-80</v>
      </c>
      <c r="S487" s="15">
        <f t="shared" ca="1" si="86"/>
        <v>1</v>
      </c>
    </row>
    <row r="488" spans="9:19">
      <c r="I488" s="15">
        <f t="shared" si="87"/>
        <v>484</v>
      </c>
      <c r="J488" s="16">
        <f t="shared" ca="1" si="77"/>
        <v>288</v>
      </c>
      <c r="K488" s="16">
        <f t="shared" ca="1" si="78"/>
        <v>270</v>
      </c>
      <c r="L488" s="16">
        <f t="shared" ca="1" si="79"/>
        <v>0</v>
      </c>
      <c r="M488" s="17">
        <f t="shared" ca="1" si="80"/>
        <v>1350</v>
      </c>
      <c r="N488" s="17">
        <f t="shared" si="81"/>
        <v>-20</v>
      </c>
      <c r="O488" s="17">
        <f t="shared" si="82"/>
        <v>-810</v>
      </c>
      <c r="P488" s="18">
        <f t="shared" ca="1" si="83"/>
        <v>0</v>
      </c>
      <c r="Q488" s="18">
        <f t="shared" ca="1" si="84"/>
        <v>0</v>
      </c>
      <c r="R488" s="19">
        <f t="shared" ca="1" si="85"/>
        <v>520</v>
      </c>
      <c r="S488" s="15">
        <f t="shared" ca="1" si="86"/>
        <v>0</v>
      </c>
    </row>
    <row r="489" spans="9:19">
      <c r="I489" s="15">
        <f t="shared" si="87"/>
        <v>485</v>
      </c>
      <c r="J489" s="16">
        <f t="shared" ca="1" si="77"/>
        <v>314</v>
      </c>
      <c r="K489" s="16">
        <f t="shared" ca="1" si="78"/>
        <v>270</v>
      </c>
      <c r="L489" s="16">
        <f t="shared" ca="1" si="79"/>
        <v>0</v>
      </c>
      <c r="M489" s="17">
        <f t="shared" ca="1" si="80"/>
        <v>1350</v>
      </c>
      <c r="N489" s="17">
        <f t="shared" si="81"/>
        <v>-20</v>
      </c>
      <c r="O489" s="17">
        <f t="shared" si="82"/>
        <v>-810</v>
      </c>
      <c r="P489" s="18">
        <f t="shared" ca="1" si="83"/>
        <v>0</v>
      </c>
      <c r="Q489" s="18">
        <f t="shared" ca="1" si="84"/>
        <v>0</v>
      </c>
      <c r="R489" s="19">
        <f t="shared" ca="1" si="85"/>
        <v>520</v>
      </c>
      <c r="S489" s="15">
        <f t="shared" ca="1" si="86"/>
        <v>0</v>
      </c>
    </row>
    <row r="490" spans="9:19">
      <c r="I490" s="15">
        <f t="shared" si="87"/>
        <v>486</v>
      </c>
      <c r="J490" s="16">
        <f t="shared" ca="1" si="77"/>
        <v>330</v>
      </c>
      <c r="K490" s="16">
        <f ca="1">IF(J490&gt;=$D$18,$D$18,J490)</f>
        <v>270</v>
      </c>
      <c r="L490" s="16">
        <f t="shared" ca="1" si="79"/>
        <v>0</v>
      </c>
      <c r="M490" s="17">
        <f t="shared" ca="1" si="80"/>
        <v>1350</v>
      </c>
      <c r="N490" s="17">
        <f t="shared" si="81"/>
        <v>-20</v>
      </c>
      <c r="O490" s="17">
        <f t="shared" si="82"/>
        <v>-810</v>
      </c>
      <c r="P490" s="18">
        <f t="shared" ca="1" si="83"/>
        <v>0</v>
      </c>
      <c r="Q490" s="18">
        <f t="shared" ca="1" si="84"/>
        <v>0</v>
      </c>
      <c r="R490" s="19">
        <f t="shared" ca="1" si="85"/>
        <v>520</v>
      </c>
      <c r="S490" s="15">
        <f t="shared" ca="1" si="86"/>
        <v>0</v>
      </c>
    </row>
    <row r="491" spans="9:19">
      <c r="I491" s="15">
        <f t="shared" si="87"/>
        <v>487</v>
      </c>
      <c r="J491" s="16">
        <f t="shared" ca="1" si="77"/>
        <v>377</v>
      </c>
      <c r="K491" s="16">
        <f t="shared" ca="1" si="78"/>
        <v>270</v>
      </c>
      <c r="L491" s="16">
        <f t="shared" ca="1" si="79"/>
        <v>0</v>
      </c>
      <c r="M491" s="17">
        <f t="shared" ca="1" si="80"/>
        <v>1350</v>
      </c>
      <c r="N491" s="17">
        <f t="shared" si="81"/>
        <v>-20</v>
      </c>
      <c r="O491" s="17">
        <f t="shared" si="82"/>
        <v>-810</v>
      </c>
      <c r="P491" s="18">
        <f t="shared" ca="1" si="83"/>
        <v>0</v>
      </c>
      <c r="Q491" s="18">
        <f t="shared" ca="1" si="84"/>
        <v>0</v>
      </c>
      <c r="R491" s="19">
        <f t="shared" ca="1" si="85"/>
        <v>520</v>
      </c>
      <c r="S491" s="15">
        <f t="shared" ca="1" si="86"/>
        <v>0</v>
      </c>
    </row>
    <row r="492" spans="9:19">
      <c r="I492" s="15">
        <f t="shared" si="87"/>
        <v>488</v>
      </c>
      <c r="J492" s="16">
        <f t="shared" ca="1" si="77"/>
        <v>418</v>
      </c>
      <c r="K492" s="16">
        <f t="shared" ca="1" si="78"/>
        <v>270</v>
      </c>
      <c r="L492" s="16">
        <f t="shared" ca="1" si="79"/>
        <v>0</v>
      </c>
      <c r="M492" s="17">
        <f t="shared" ca="1" si="80"/>
        <v>1350</v>
      </c>
      <c r="N492" s="17">
        <f t="shared" si="81"/>
        <v>-20</v>
      </c>
      <c r="O492" s="17">
        <f t="shared" si="82"/>
        <v>-810</v>
      </c>
      <c r="P492" s="18">
        <f t="shared" ca="1" si="83"/>
        <v>0</v>
      </c>
      <c r="Q492" s="18">
        <f t="shared" ca="1" si="84"/>
        <v>0</v>
      </c>
      <c r="R492" s="19">
        <f t="shared" ca="1" si="85"/>
        <v>520</v>
      </c>
      <c r="S492" s="15">
        <f t="shared" ca="1" si="86"/>
        <v>0</v>
      </c>
    </row>
    <row r="493" spans="9:19">
      <c r="I493" s="15">
        <f t="shared" si="87"/>
        <v>489</v>
      </c>
      <c r="J493" s="16">
        <f t="shared" ca="1" si="77"/>
        <v>341</v>
      </c>
      <c r="K493" s="16">
        <f t="shared" ca="1" si="78"/>
        <v>270</v>
      </c>
      <c r="L493" s="16">
        <f t="shared" ca="1" si="79"/>
        <v>0</v>
      </c>
      <c r="M493" s="17">
        <f t="shared" ca="1" si="80"/>
        <v>1350</v>
      </c>
      <c r="N493" s="17">
        <f t="shared" si="81"/>
        <v>-20</v>
      </c>
      <c r="O493" s="17">
        <f t="shared" si="82"/>
        <v>-810</v>
      </c>
      <c r="P493" s="18">
        <f t="shared" ca="1" si="83"/>
        <v>0</v>
      </c>
      <c r="Q493" s="18">
        <f t="shared" ca="1" si="84"/>
        <v>0</v>
      </c>
      <c r="R493" s="19">
        <f t="shared" ca="1" si="85"/>
        <v>520</v>
      </c>
      <c r="S493" s="15">
        <f t="shared" ca="1" si="86"/>
        <v>0</v>
      </c>
    </row>
    <row r="494" spans="9:19">
      <c r="I494" s="15">
        <f t="shared" si="87"/>
        <v>490</v>
      </c>
      <c r="J494" s="16">
        <f t="shared" ca="1" si="77"/>
        <v>229</v>
      </c>
      <c r="K494" s="16">
        <f t="shared" ca="1" si="78"/>
        <v>229</v>
      </c>
      <c r="L494" s="16">
        <f t="shared" ca="1" si="79"/>
        <v>41</v>
      </c>
      <c r="M494" s="17">
        <f t="shared" ca="1" si="80"/>
        <v>1145</v>
      </c>
      <c r="N494" s="17">
        <f t="shared" si="81"/>
        <v>-20</v>
      </c>
      <c r="O494" s="17">
        <f t="shared" si="82"/>
        <v>-810</v>
      </c>
      <c r="P494" s="18">
        <f t="shared" ca="1" si="83"/>
        <v>-20.5</v>
      </c>
      <c r="Q494" s="18">
        <f t="shared" ca="1" si="84"/>
        <v>61.5</v>
      </c>
      <c r="R494" s="19">
        <f t="shared" ca="1" si="85"/>
        <v>356</v>
      </c>
      <c r="S494" s="15">
        <f t="shared" ca="1" si="86"/>
        <v>0</v>
      </c>
    </row>
    <row r="495" spans="9:19">
      <c r="I495" s="15">
        <f t="shared" si="87"/>
        <v>491</v>
      </c>
      <c r="J495" s="16">
        <f t="shared" ca="1" si="77"/>
        <v>404</v>
      </c>
      <c r="K495" s="16">
        <f t="shared" ca="1" si="78"/>
        <v>270</v>
      </c>
      <c r="L495" s="16">
        <f t="shared" ca="1" si="79"/>
        <v>0</v>
      </c>
      <c r="M495" s="17">
        <f t="shared" ca="1" si="80"/>
        <v>1350</v>
      </c>
      <c r="N495" s="17">
        <f t="shared" si="81"/>
        <v>-20</v>
      </c>
      <c r="O495" s="17">
        <f t="shared" si="82"/>
        <v>-810</v>
      </c>
      <c r="P495" s="18">
        <f t="shared" ca="1" si="83"/>
        <v>0</v>
      </c>
      <c r="Q495" s="18">
        <f t="shared" ca="1" si="84"/>
        <v>0</v>
      </c>
      <c r="R495" s="19">
        <f t="shared" ca="1" si="85"/>
        <v>520</v>
      </c>
      <c r="S495" s="15">
        <f t="shared" ca="1" si="86"/>
        <v>0</v>
      </c>
    </row>
    <row r="496" spans="9:19">
      <c r="I496" s="15">
        <f t="shared" si="87"/>
        <v>492</v>
      </c>
      <c r="J496" s="16">
        <f t="shared" ca="1" si="77"/>
        <v>194</v>
      </c>
      <c r="K496" s="16">
        <f t="shared" ca="1" si="78"/>
        <v>194</v>
      </c>
      <c r="L496" s="16">
        <f t="shared" ca="1" si="79"/>
        <v>76</v>
      </c>
      <c r="M496" s="17">
        <f t="shared" ca="1" si="80"/>
        <v>970</v>
      </c>
      <c r="N496" s="17">
        <f t="shared" si="81"/>
        <v>-20</v>
      </c>
      <c r="O496" s="17">
        <f t="shared" si="82"/>
        <v>-810</v>
      </c>
      <c r="P496" s="18">
        <f t="shared" ca="1" si="83"/>
        <v>-38</v>
      </c>
      <c r="Q496" s="18">
        <f t="shared" ca="1" si="84"/>
        <v>114</v>
      </c>
      <c r="R496" s="19">
        <f t="shared" ca="1" si="85"/>
        <v>216</v>
      </c>
      <c r="S496" s="15">
        <f t="shared" ca="1" si="86"/>
        <v>0</v>
      </c>
    </row>
    <row r="497" spans="9:19">
      <c r="I497" s="15">
        <f t="shared" si="87"/>
        <v>493</v>
      </c>
      <c r="J497" s="16">
        <f t="shared" ca="1" si="77"/>
        <v>269</v>
      </c>
      <c r="K497" s="16">
        <f t="shared" ca="1" si="78"/>
        <v>269</v>
      </c>
      <c r="L497" s="16">
        <f t="shared" ca="1" si="79"/>
        <v>1</v>
      </c>
      <c r="M497" s="17">
        <f t="shared" ca="1" si="80"/>
        <v>1345</v>
      </c>
      <c r="N497" s="17">
        <f t="shared" si="81"/>
        <v>-20</v>
      </c>
      <c r="O497" s="17">
        <f t="shared" si="82"/>
        <v>-810</v>
      </c>
      <c r="P497" s="18">
        <f t="shared" ca="1" si="83"/>
        <v>-0.5</v>
      </c>
      <c r="Q497" s="18">
        <f t="shared" ca="1" si="84"/>
        <v>1.5</v>
      </c>
      <c r="R497" s="19">
        <f t="shared" ca="1" si="85"/>
        <v>516</v>
      </c>
      <c r="S497" s="15">
        <f t="shared" ca="1" si="86"/>
        <v>0</v>
      </c>
    </row>
    <row r="498" spans="9:19">
      <c r="I498" s="15">
        <f t="shared" si="87"/>
        <v>494</v>
      </c>
      <c r="J498" s="16">
        <f t="shared" ca="1" si="77"/>
        <v>322</v>
      </c>
      <c r="K498" s="16">
        <f t="shared" ca="1" si="78"/>
        <v>270</v>
      </c>
      <c r="L498" s="16">
        <f t="shared" ca="1" si="79"/>
        <v>0</v>
      </c>
      <c r="M498" s="17">
        <f t="shared" ca="1" si="80"/>
        <v>1350</v>
      </c>
      <c r="N498" s="17">
        <f t="shared" si="81"/>
        <v>-20</v>
      </c>
      <c r="O498" s="17">
        <f t="shared" si="82"/>
        <v>-810</v>
      </c>
      <c r="P498" s="18">
        <f t="shared" ca="1" si="83"/>
        <v>0</v>
      </c>
      <c r="Q498" s="18">
        <f t="shared" ca="1" si="84"/>
        <v>0</v>
      </c>
      <c r="R498" s="19">
        <f t="shared" ca="1" si="85"/>
        <v>520</v>
      </c>
      <c r="S498" s="15">
        <f t="shared" ca="1" si="86"/>
        <v>0</v>
      </c>
    </row>
    <row r="499" spans="9:19">
      <c r="I499" s="15">
        <f t="shared" si="87"/>
        <v>495</v>
      </c>
      <c r="J499" s="16">
        <f t="shared" ca="1" si="77"/>
        <v>279</v>
      </c>
      <c r="K499" s="16">
        <f t="shared" ca="1" si="78"/>
        <v>270</v>
      </c>
      <c r="L499" s="16">
        <f t="shared" ca="1" si="79"/>
        <v>0</v>
      </c>
      <c r="M499" s="17">
        <f t="shared" ca="1" si="80"/>
        <v>1350</v>
      </c>
      <c r="N499" s="17">
        <f t="shared" si="81"/>
        <v>-20</v>
      </c>
      <c r="O499" s="17">
        <f t="shared" si="82"/>
        <v>-810</v>
      </c>
      <c r="P499" s="18">
        <f t="shared" ca="1" si="83"/>
        <v>0</v>
      </c>
      <c r="Q499" s="18">
        <f t="shared" ca="1" si="84"/>
        <v>0</v>
      </c>
      <c r="R499" s="19">
        <f t="shared" ca="1" si="85"/>
        <v>520</v>
      </c>
      <c r="S499" s="15">
        <f t="shared" ca="1" si="86"/>
        <v>0</v>
      </c>
    </row>
    <row r="500" spans="9:19">
      <c r="I500" s="15">
        <f>I499+1</f>
        <v>496</v>
      </c>
      <c r="J500" s="16">
        <f t="shared" ca="1" si="77"/>
        <v>307</v>
      </c>
      <c r="K500" s="16">
        <f t="shared" ca="1" si="78"/>
        <v>270</v>
      </c>
      <c r="L500" s="16">
        <f t="shared" ca="1" si="79"/>
        <v>0</v>
      </c>
      <c r="M500" s="17">
        <f t="shared" ca="1" si="80"/>
        <v>1350</v>
      </c>
      <c r="N500" s="17">
        <f t="shared" si="81"/>
        <v>-20</v>
      </c>
      <c r="O500" s="17">
        <f t="shared" si="82"/>
        <v>-810</v>
      </c>
      <c r="P500" s="18">
        <f t="shared" ca="1" si="83"/>
        <v>0</v>
      </c>
      <c r="Q500" s="18">
        <f t="shared" ca="1" si="84"/>
        <v>0</v>
      </c>
      <c r="R500" s="19">
        <f t="shared" ca="1" si="85"/>
        <v>520</v>
      </c>
      <c r="S500" s="15">
        <f t="shared" ca="1" si="86"/>
        <v>0</v>
      </c>
    </row>
    <row r="501" spans="9:19">
      <c r="I501" s="15">
        <f>I500+1</f>
        <v>497</v>
      </c>
      <c r="J501" s="16">
        <f t="shared" ca="1" si="77"/>
        <v>202</v>
      </c>
      <c r="K501" s="16">
        <f t="shared" ca="1" si="78"/>
        <v>202</v>
      </c>
      <c r="L501" s="16">
        <f t="shared" ca="1" si="79"/>
        <v>68</v>
      </c>
      <c r="M501" s="17">
        <f t="shared" ca="1" si="80"/>
        <v>1010</v>
      </c>
      <c r="N501" s="17">
        <f t="shared" si="81"/>
        <v>-20</v>
      </c>
      <c r="O501" s="17">
        <f t="shared" si="82"/>
        <v>-810</v>
      </c>
      <c r="P501" s="18">
        <f t="shared" ca="1" si="83"/>
        <v>-34</v>
      </c>
      <c r="Q501" s="18">
        <f t="shared" ca="1" si="84"/>
        <v>102</v>
      </c>
      <c r="R501" s="19">
        <f t="shared" ca="1" si="85"/>
        <v>248</v>
      </c>
      <c r="S501" s="15">
        <f t="shared" ca="1" si="86"/>
        <v>0</v>
      </c>
    </row>
    <row r="502" spans="9:19">
      <c r="I502" s="15">
        <f t="shared" si="87"/>
        <v>498</v>
      </c>
      <c r="J502" s="16">
        <f t="shared" ca="1" si="77"/>
        <v>152</v>
      </c>
      <c r="K502" s="16">
        <f t="shared" ca="1" si="78"/>
        <v>152</v>
      </c>
      <c r="L502" s="16">
        <f t="shared" ca="1" si="79"/>
        <v>118</v>
      </c>
      <c r="M502" s="17">
        <f t="shared" ca="1" si="80"/>
        <v>760</v>
      </c>
      <c r="N502" s="17">
        <f t="shared" si="81"/>
        <v>-20</v>
      </c>
      <c r="O502" s="17">
        <f t="shared" si="82"/>
        <v>-810</v>
      </c>
      <c r="P502" s="18">
        <f t="shared" ca="1" si="83"/>
        <v>-59</v>
      </c>
      <c r="Q502" s="18">
        <f t="shared" ca="1" si="84"/>
        <v>177</v>
      </c>
      <c r="R502" s="19">
        <f ca="1">SUM(M502:Q502)</f>
        <v>48</v>
      </c>
      <c r="S502" s="15">
        <f t="shared" ca="1" si="86"/>
        <v>0</v>
      </c>
    </row>
    <row r="503" spans="9:19">
      <c r="I503" s="15">
        <f t="shared" si="87"/>
        <v>499</v>
      </c>
      <c r="J503" s="16">
        <f t="shared" ca="1" si="77"/>
        <v>275</v>
      </c>
      <c r="K503" s="16">
        <f t="shared" ca="1" si="78"/>
        <v>270</v>
      </c>
      <c r="L503" s="16">
        <f t="shared" ca="1" si="79"/>
        <v>0</v>
      </c>
      <c r="M503" s="17">
        <f t="shared" ca="1" si="80"/>
        <v>1350</v>
      </c>
      <c r="N503" s="17">
        <f t="shared" si="81"/>
        <v>-20</v>
      </c>
      <c r="O503" s="17">
        <f t="shared" si="82"/>
        <v>-810</v>
      </c>
      <c r="P503" s="18">
        <f t="shared" ca="1" si="83"/>
        <v>0</v>
      </c>
      <c r="Q503" s="18">
        <f t="shared" ca="1" si="84"/>
        <v>0</v>
      </c>
      <c r="R503" s="19">
        <f t="shared" ca="1" si="85"/>
        <v>520</v>
      </c>
      <c r="S503" s="15">
        <f t="shared" ca="1" si="86"/>
        <v>0</v>
      </c>
    </row>
    <row r="504" spans="9:19">
      <c r="I504" s="15">
        <f>I503+1</f>
        <v>500</v>
      </c>
      <c r="J504" s="16">
        <f ca="1">RANDBETWEEN(120,420)</f>
        <v>325</v>
      </c>
      <c r="K504" s="16">
        <f t="shared" ca="1" si="78"/>
        <v>270</v>
      </c>
      <c r="L504" s="16">
        <f t="shared" ca="1" si="79"/>
        <v>0</v>
      </c>
      <c r="M504" s="17">
        <f t="shared" ca="1" si="80"/>
        <v>1350</v>
      </c>
      <c r="N504" s="17">
        <f t="shared" si="81"/>
        <v>-20</v>
      </c>
      <c r="O504" s="17">
        <f t="shared" si="82"/>
        <v>-810</v>
      </c>
      <c r="P504" s="18">
        <f t="shared" ca="1" si="83"/>
        <v>0</v>
      </c>
      <c r="Q504" s="18">
        <f t="shared" ca="1" si="84"/>
        <v>0</v>
      </c>
      <c r="R504" s="19">
        <f t="shared" ca="1" si="85"/>
        <v>520</v>
      </c>
      <c r="S504" s="15">
        <f t="shared" ca="1" si="86"/>
        <v>0</v>
      </c>
    </row>
    <row r="505" spans="9:19">
      <c r="I505" s="22"/>
      <c r="J505" s="22">
        <f ca="1">AVERAGE(J5:J504)</f>
        <v>272.43599999999998</v>
      </c>
      <c r="Q505" s="8" t="s">
        <v>188</v>
      </c>
      <c r="R505" s="19">
        <f ca="1">AVERAGE(R5:R504)</f>
        <v>374.33600000000001</v>
      </c>
    </row>
    <row r="506" spans="9:19">
      <c r="J506" s="16"/>
      <c r="Q506" s="8" t="s">
        <v>39</v>
      </c>
      <c r="R506" s="19">
        <f>'4'!N33</f>
        <v>370</v>
      </c>
    </row>
    <row r="507" spans="9:19">
      <c r="J507" s="16"/>
      <c r="Q507" s="8" t="s">
        <v>189</v>
      </c>
      <c r="R507" s="22">
        <f ca="1">STDEV(R5:R504)</f>
        <v>193.57283898311761</v>
      </c>
    </row>
    <row r="508" spans="9:19">
      <c r="J508" s="16"/>
      <c r="Q508" s="8" t="s">
        <v>40</v>
      </c>
      <c r="R508" s="20">
        <f ca="1">SUM(S5:S504)</f>
        <v>33</v>
      </c>
    </row>
    <row r="509" spans="9:19">
      <c r="J509" s="16"/>
      <c r="Q509" s="8" t="s">
        <v>42</v>
      </c>
      <c r="R509" s="20">
        <f ca="1">R508/500</f>
        <v>6.6000000000000003E-2</v>
      </c>
    </row>
    <row r="510" spans="9:19">
      <c r="J510" s="16"/>
    </row>
    <row r="511" spans="9:19">
      <c r="J511" s="16"/>
    </row>
    <row r="512" spans="9:19">
      <c r="J512" s="16"/>
    </row>
    <row r="513" spans="10:10">
      <c r="J513" s="16"/>
    </row>
    <row r="514" spans="10:10">
      <c r="J514" s="16"/>
    </row>
    <row r="515" spans="10:10">
      <c r="J515" s="16"/>
    </row>
    <row r="516" spans="10:10">
      <c r="J516" s="16"/>
    </row>
    <row r="517" spans="10:10">
      <c r="J517" s="16"/>
    </row>
    <row r="518" spans="10:10">
      <c r="J518" s="16"/>
    </row>
    <row r="519" spans="10:10">
      <c r="J519" s="16"/>
    </row>
    <row r="520" spans="10:10">
      <c r="J520" s="16"/>
    </row>
    <row r="521" spans="10:10">
      <c r="J521" s="16"/>
    </row>
    <row r="522" spans="10:10">
      <c r="J522" s="16"/>
    </row>
    <row r="523" spans="10:10">
      <c r="J523" s="16"/>
    </row>
    <row r="524" spans="10:10">
      <c r="J524" s="16"/>
    </row>
    <row r="525" spans="10:10">
      <c r="J525" s="16"/>
    </row>
    <row r="526" spans="10:10">
      <c r="J526" s="16"/>
    </row>
    <row r="527" spans="10:10">
      <c r="J527" s="16"/>
    </row>
    <row r="528" spans="10:10">
      <c r="J528" s="16"/>
    </row>
    <row r="529" spans="10:10">
      <c r="J529" s="16"/>
    </row>
    <row r="530" spans="10:10">
      <c r="J530" s="16"/>
    </row>
    <row r="531" spans="10:10">
      <c r="J531" s="16"/>
    </row>
    <row r="532" spans="10:10">
      <c r="J532" s="16"/>
    </row>
    <row r="533" spans="10:10">
      <c r="J533" s="16"/>
    </row>
    <row r="534" spans="10:10">
      <c r="J534" s="16"/>
    </row>
    <row r="535" spans="10:10">
      <c r="J535" s="16"/>
    </row>
    <row r="536" spans="10:10">
      <c r="J536" s="16"/>
    </row>
    <row r="537" spans="10:10">
      <c r="J537" s="16"/>
    </row>
    <row r="538" spans="10:10">
      <c r="J538" s="16"/>
    </row>
    <row r="539" spans="10:10">
      <c r="J539" s="16"/>
    </row>
    <row r="540" spans="10:10">
      <c r="J540" s="16"/>
    </row>
    <row r="541" spans="10:10">
      <c r="J541" s="16"/>
    </row>
    <row r="542" spans="10:10">
      <c r="J542" s="16"/>
    </row>
    <row r="543" spans="10:10">
      <c r="J543" s="16"/>
    </row>
  </sheetData>
  <sheetProtection sheet="1" objects="1" scenarios="1"/>
  <conditionalFormatting sqref="R5:R504">
    <cfRule type="iconSet" priority="1">
      <iconSet iconSet="3Arrows">
        <cfvo type="percent" val="0"/>
        <cfvo type="num" val="0"/>
        <cfvo type="num" val="500" gte="0"/>
      </iconSet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F47A-7BEC-2847-ADE9-A7854DCC4CB2}">
  <sheetPr codeName="Sheet5"/>
  <dimension ref="J19:L23"/>
  <sheetViews>
    <sheetView workbookViewId="0">
      <selection activeCell="K15" sqref="K15"/>
    </sheetView>
  </sheetViews>
  <sheetFormatPr defaultColWidth="11" defaultRowHeight="15.75"/>
  <sheetData>
    <row r="19" spans="10:12">
      <c r="J19">
        <v>94.2</v>
      </c>
      <c r="K19" s="67">
        <v>0.15</v>
      </c>
      <c r="L19">
        <f>K19*J19</f>
        <v>14.13</v>
      </c>
    </row>
    <row r="20" spans="10:12">
      <c r="J20">
        <f>39.5/40*100</f>
        <v>98.75</v>
      </c>
      <c r="K20" s="67">
        <v>0.1</v>
      </c>
      <c r="L20">
        <f t="shared" ref="L20:L22" si="0">K20*J20</f>
        <v>9.875</v>
      </c>
    </row>
    <row r="21" spans="10:12">
      <c r="J21">
        <v>84.5</v>
      </c>
      <c r="K21" s="67">
        <v>0.5</v>
      </c>
      <c r="L21">
        <f t="shared" si="0"/>
        <v>42.25</v>
      </c>
    </row>
    <row r="22" spans="10:12">
      <c r="J22">
        <v>100</v>
      </c>
      <c r="K22" s="67">
        <v>0.25</v>
      </c>
      <c r="L22">
        <f t="shared" si="0"/>
        <v>25</v>
      </c>
    </row>
    <row r="23" spans="10:12">
      <c r="L23">
        <f>SUM(L19:L22)</f>
        <v>91.254999999999995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7BF5-8DB0-FC47-A1EA-1BDDB38C632B}">
  <sheetPr codeName="Sheet6"/>
  <dimension ref="B3:AE384"/>
  <sheetViews>
    <sheetView zoomScale="87" zoomScaleNormal="87" workbookViewId="0">
      <selection activeCell="Q30" sqref="Q30"/>
    </sheetView>
  </sheetViews>
  <sheetFormatPr defaultColWidth="10.875" defaultRowHeight="15"/>
  <cols>
    <col min="1" max="16384" width="10.875" style="1"/>
  </cols>
  <sheetData>
    <row r="3" spans="2:14">
      <c r="N3" s="23" t="s">
        <v>43</v>
      </c>
    </row>
    <row r="4" spans="2:14">
      <c r="B4" s="1" t="s">
        <v>53</v>
      </c>
      <c r="C4" s="1" t="s">
        <v>54</v>
      </c>
      <c r="N4" s="23" t="s">
        <v>44</v>
      </c>
    </row>
    <row r="5" spans="2:14">
      <c r="E5" s="1" t="s">
        <v>55</v>
      </c>
      <c r="N5" s="23" t="s">
        <v>45</v>
      </c>
    </row>
    <row r="6" spans="2:14">
      <c r="D6" s="26"/>
      <c r="E6" s="26">
        <v>0.25</v>
      </c>
      <c r="F6" s="26">
        <v>0.5</v>
      </c>
      <c r="G6" s="26">
        <v>0.75</v>
      </c>
      <c r="N6" s="23" t="s">
        <v>46</v>
      </c>
    </row>
    <row r="7" spans="2:14">
      <c r="C7" s="91" t="s">
        <v>56</v>
      </c>
      <c r="D7" s="27">
        <v>5</v>
      </c>
      <c r="E7" s="25">
        <f>'3'!D19</f>
        <v>246.31578947368422</v>
      </c>
      <c r="F7" s="25">
        <f>'1and2'!C23</f>
        <v>270</v>
      </c>
      <c r="G7" s="25">
        <f>'3'!F19</f>
        <v>304.61538461538464</v>
      </c>
      <c r="N7" s="23" t="s">
        <v>48</v>
      </c>
    </row>
    <row r="8" spans="2:14">
      <c r="C8" s="91"/>
      <c r="D8" s="28">
        <v>6</v>
      </c>
      <c r="E8" s="25">
        <f>'3'!D25</f>
        <v>276.52173913043475</v>
      </c>
      <c r="F8" s="25">
        <f>'1and2'!C40</f>
        <v>300</v>
      </c>
      <c r="G8" s="25">
        <f>'3'!F25</f>
        <v>331.76470588235293</v>
      </c>
      <c r="N8" s="23" t="s">
        <v>49</v>
      </c>
    </row>
    <row r="9" spans="2:14">
      <c r="N9" s="23" t="s">
        <v>47</v>
      </c>
    </row>
    <row r="10" spans="2:14">
      <c r="C10" s="1" t="s">
        <v>57</v>
      </c>
    </row>
    <row r="12" spans="2:14">
      <c r="D12" s="1" t="s">
        <v>58</v>
      </c>
      <c r="E12" s="1" t="s">
        <v>59</v>
      </c>
      <c r="G12" s="1" t="s">
        <v>63</v>
      </c>
    </row>
    <row r="13" spans="2:14">
      <c r="D13" s="1" t="s">
        <v>60</v>
      </c>
      <c r="E13" s="29">
        <v>0.05</v>
      </c>
      <c r="G13" s="1" t="s">
        <v>64</v>
      </c>
    </row>
    <row r="14" spans="2:14">
      <c r="D14" s="1" t="s">
        <v>61</v>
      </c>
      <c r="E14" s="29">
        <v>0.03</v>
      </c>
      <c r="G14" s="1" t="s">
        <v>64</v>
      </c>
    </row>
    <row r="15" spans="2:14">
      <c r="D15" s="1" t="s">
        <v>62</v>
      </c>
      <c r="E15" s="29">
        <v>7.0000000000000007E-2</v>
      </c>
      <c r="G15" s="1" t="s">
        <v>64</v>
      </c>
    </row>
    <row r="17" spans="3:31">
      <c r="C17" s="1" t="s">
        <v>65</v>
      </c>
    </row>
    <row r="18" spans="3:31">
      <c r="C18" s="1" t="s">
        <v>195</v>
      </c>
      <c r="H18" s="1">
        <f>40000*0.05</f>
        <v>2000</v>
      </c>
      <c r="I18" s="1" t="s">
        <v>190</v>
      </c>
      <c r="M18" s="1">
        <f>2000/400</f>
        <v>5</v>
      </c>
      <c r="N18" s="1" t="s">
        <v>191</v>
      </c>
    </row>
    <row r="19" spans="3:31">
      <c r="C19" s="1" t="s">
        <v>192</v>
      </c>
      <c r="E19" s="1">
        <f>2+5</f>
        <v>7</v>
      </c>
    </row>
    <row r="20" spans="3:31">
      <c r="C20" s="1" t="s">
        <v>66</v>
      </c>
      <c r="E20" s="1">
        <f>3-0.5*3+0.5</f>
        <v>2</v>
      </c>
    </row>
    <row r="21" spans="3:31">
      <c r="C21" s="1" t="s">
        <v>67</v>
      </c>
      <c r="E21" s="1">
        <f>E19/(E20+E19)</f>
        <v>0.77777777777777779</v>
      </c>
    </row>
    <row r="22" spans="3:31">
      <c r="C22" s="1" t="s">
        <v>22</v>
      </c>
      <c r="E22" s="1">
        <f>E21*(420-120)+120</f>
        <v>353.33333333333337</v>
      </c>
      <c r="G22" s="1" t="s">
        <v>68</v>
      </c>
    </row>
    <row r="24" spans="3:31">
      <c r="C24" s="1" t="s">
        <v>69</v>
      </c>
      <c r="H24" s="1">
        <f>40000*0.03</f>
        <v>1200</v>
      </c>
      <c r="I24" s="1" t="s">
        <v>193</v>
      </c>
      <c r="M24" s="33">
        <f>1200/380</f>
        <v>3.1578947368421053</v>
      </c>
      <c r="N24" s="1" t="s">
        <v>191</v>
      </c>
    </row>
    <row r="25" spans="3:31">
      <c r="C25" s="1" t="s">
        <v>194</v>
      </c>
      <c r="E25" s="1">
        <f>2+3.2</f>
        <v>5.2</v>
      </c>
    </row>
    <row r="26" spans="3:31">
      <c r="C26" s="1" t="s">
        <v>66</v>
      </c>
      <c r="E26" s="1">
        <f>3-0.5*3+0.5</f>
        <v>2</v>
      </c>
    </row>
    <row r="27" spans="3:31">
      <c r="C27" s="1" t="s">
        <v>67</v>
      </c>
      <c r="E27" s="1">
        <f>E25/(E26+E25)</f>
        <v>0.72222222222222221</v>
      </c>
    </row>
    <row r="28" spans="3:31">
      <c r="C28" s="1" t="s">
        <v>22</v>
      </c>
      <c r="E28" s="1">
        <f>E27*(420-120)+120</f>
        <v>336.66666666666663</v>
      </c>
      <c r="G28" s="1" t="s">
        <v>68</v>
      </c>
    </row>
    <row r="30" spans="3:31">
      <c r="R30" s="46"/>
    </row>
    <row r="31" spans="3:31">
      <c r="C31" s="1" t="s">
        <v>196</v>
      </c>
    </row>
    <row r="32" spans="3:31" ht="15.75">
      <c r="C32" s="1" t="s">
        <v>213</v>
      </c>
      <c r="L32" s="1" t="s">
        <v>227</v>
      </c>
      <c r="N32" s="69" t="s">
        <v>228</v>
      </c>
      <c r="O32" s="70">
        <v>380</v>
      </c>
      <c r="P32" s="71">
        <f>(O32-120)/(420-120)</f>
        <v>0.8666666666666667</v>
      </c>
      <c r="Q32" s="69">
        <v>380</v>
      </c>
      <c r="R32" s="70" t="s">
        <v>229</v>
      </c>
      <c r="S32" s="70">
        <v>400</v>
      </c>
      <c r="T32" s="73">
        <f>(S32-120)/(420-120)-P32</f>
        <v>6.6666666666666652E-2</v>
      </c>
      <c r="U32" s="69" t="s">
        <v>228</v>
      </c>
      <c r="V32" s="70">
        <v>400</v>
      </c>
      <c r="W32" s="71">
        <f>(V32-120)/(420-120)</f>
        <v>0.93333333333333335</v>
      </c>
      <c r="X32" s="69">
        <v>400</v>
      </c>
      <c r="Y32" s="70" t="s">
        <v>229</v>
      </c>
      <c r="Z32" s="70">
        <v>420</v>
      </c>
      <c r="AA32" s="73">
        <f>(Z32-120)/(420-120)-W32</f>
        <v>6.6666666666666652E-2</v>
      </c>
      <c r="AB32" s="69" t="s">
        <v>230</v>
      </c>
      <c r="AC32" s="70">
        <v>420</v>
      </c>
      <c r="AD32" s="72">
        <v>0</v>
      </c>
      <c r="AE32" s="68"/>
    </row>
    <row r="33" spans="3:29">
      <c r="C33" s="1" t="s">
        <v>197</v>
      </c>
      <c r="H33" s="1">
        <f>(400^2-120^2)/(2*300)</f>
        <v>242.66666666666666</v>
      </c>
      <c r="L33" s="1" t="s">
        <v>231</v>
      </c>
      <c r="O33" s="32">
        <f>(O32^2-120^2)/(2*300)</f>
        <v>216.66666666666666</v>
      </c>
      <c r="V33" s="32">
        <f>(V32^2-120^2)/(2*300)</f>
        <v>242.66666666666666</v>
      </c>
      <c r="AC33" s="32">
        <f>(AC32^2-120^2)/(2*300)</f>
        <v>270</v>
      </c>
    </row>
    <row r="34" spans="3:29">
      <c r="C34" s="1" t="s">
        <v>202</v>
      </c>
      <c r="G34" s="1">
        <f>H33*5+(400-H33)*0.5*3-(400-H33)*0.5-400*3+H36*E14*40000</f>
        <v>250.66666666666652</v>
      </c>
      <c r="H34" s="1" t="s">
        <v>203</v>
      </c>
      <c r="L34" s="1" t="s">
        <v>232</v>
      </c>
      <c r="O34" s="32">
        <f>O32-O33</f>
        <v>163.33333333333334</v>
      </c>
      <c r="V34" s="32">
        <f>V32-V33</f>
        <v>157.33333333333334</v>
      </c>
      <c r="AC34" s="32">
        <f>AC32-AC33</f>
        <v>150</v>
      </c>
    </row>
    <row r="35" spans="3:29">
      <c r="C35" s="1" t="s">
        <v>216</v>
      </c>
      <c r="L35" s="1" t="s">
        <v>233</v>
      </c>
      <c r="O35" s="1">
        <f>O33*5+O34*0.5*3-O32*3-O34*0.5</f>
        <v>106.66666666666659</v>
      </c>
      <c r="V35" s="1">
        <f>V33*5+V34*0.5*3-V32*3-V34*0.5</f>
        <v>170.66666666666657</v>
      </c>
      <c r="AC35" s="1">
        <f>AC33*5+AC34*0.5*3-AC32*3-AC34*0.5</f>
        <v>240</v>
      </c>
    </row>
    <row r="36" spans="3:29">
      <c r="G36" s="59" t="s">
        <v>142</v>
      </c>
      <c r="H36" s="1">
        <f>(400-120)/(420-120)-(380-120)/(420-120)</f>
        <v>6.6666666666666652E-2</v>
      </c>
    </row>
    <row r="37" spans="3:29">
      <c r="C37" s="66" t="s">
        <v>215</v>
      </c>
      <c r="G37" s="59">
        <f>1-(400-120)/(420-120)</f>
        <v>6.6666666666666652E-2</v>
      </c>
      <c r="L37" s="1" t="s">
        <v>58</v>
      </c>
      <c r="M37" s="1" t="s">
        <v>59</v>
      </c>
    </row>
    <row r="38" spans="3:29">
      <c r="C38" s="1" t="s">
        <v>214</v>
      </c>
      <c r="E38" s="1">
        <v>400</v>
      </c>
      <c r="L38" s="1" t="s">
        <v>60</v>
      </c>
      <c r="M38" s="29">
        <v>0.05</v>
      </c>
    </row>
    <row r="39" spans="3:29">
      <c r="C39" s="1" t="s">
        <v>199</v>
      </c>
      <c r="F39" s="1">
        <f>400*5-400*3</f>
        <v>800</v>
      </c>
      <c r="G39" s="1" t="s">
        <v>212</v>
      </c>
      <c r="L39" s="1" t="s">
        <v>61</v>
      </c>
      <c r="M39" s="29">
        <v>0.03</v>
      </c>
    </row>
    <row r="40" spans="3:29">
      <c r="C40" s="1" t="s">
        <v>200</v>
      </c>
      <c r="F40" s="1">
        <f>800+40000</f>
        <v>40800</v>
      </c>
      <c r="L40" s="1" t="s">
        <v>62</v>
      </c>
      <c r="M40" s="29">
        <v>7.0000000000000007E-2</v>
      </c>
    </row>
    <row r="41" spans="3:29">
      <c r="C41" s="1" t="s">
        <v>201</v>
      </c>
      <c r="G41" s="1">
        <f>G37*(F39*(1-E13)+F40*E13)</f>
        <v>186.66666666666663</v>
      </c>
    </row>
    <row r="43" spans="3:29">
      <c r="M43" s="46" t="s">
        <v>234</v>
      </c>
      <c r="N43" s="1" t="s">
        <v>238</v>
      </c>
      <c r="O43" s="1" t="s">
        <v>239</v>
      </c>
      <c r="P43" s="1" t="s">
        <v>240</v>
      </c>
      <c r="R43" s="46" t="s">
        <v>236</v>
      </c>
      <c r="S43" s="1" t="s">
        <v>235</v>
      </c>
      <c r="V43" s="1" t="s">
        <v>234</v>
      </c>
      <c r="W43" s="1" t="s">
        <v>233</v>
      </c>
      <c r="X43" s="1" t="s">
        <v>226</v>
      </c>
      <c r="Y43" s="1" t="s">
        <v>237</v>
      </c>
    </row>
    <row r="44" spans="3:29">
      <c r="C44" s="1" t="s">
        <v>28</v>
      </c>
      <c r="E44" s="1">
        <f>G41+G34-20</f>
        <v>417.33333333333314</v>
      </c>
      <c r="G44" s="1" t="s">
        <v>209</v>
      </c>
      <c r="M44" s="1">
        <f t="shared" ref="M44:M50" si="0">M45-1</f>
        <v>372</v>
      </c>
      <c r="N44" s="25">
        <f>(M44^2-120^2)/(2*300)+M44*(420-M44)/300</f>
        <v>266.15999999999997</v>
      </c>
      <c r="O44" s="32">
        <f>M44-N44</f>
        <v>105.84000000000003</v>
      </c>
      <c r="P44" s="32">
        <f>N44*5+O44*0.5*3-O44*0.5-M44*3-20</f>
        <v>300.63999999999965</v>
      </c>
      <c r="R44" s="25">
        <f>P44</f>
        <v>300.63999999999965</v>
      </c>
      <c r="S44" s="2">
        <f>S52</f>
        <v>370</v>
      </c>
      <c r="V44" s="1">
        <v>120</v>
      </c>
      <c r="W44" s="32">
        <f t="shared" ref="W44:W107" si="1">X44*5+Y44*0.5*3-Y44*0.5-V44*3-20</f>
        <v>220</v>
      </c>
      <c r="X44" s="25">
        <f t="shared" ref="X44:X107" si="2">(V44^2-120^2)/(2*300)+V44*(420-V44)/300</f>
        <v>120</v>
      </c>
      <c r="Y44" s="32">
        <f t="shared" ref="Y44:Y107" si="3">V44-X44</f>
        <v>0</v>
      </c>
    </row>
    <row r="45" spans="3:29">
      <c r="C45" s="1" t="s">
        <v>204</v>
      </c>
      <c r="F45" s="3">
        <f>'1and2'!J30</f>
        <v>370</v>
      </c>
      <c r="G45" s="1" t="s">
        <v>217</v>
      </c>
      <c r="M45" s="1">
        <f t="shared" si="0"/>
        <v>373</v>
      </c>
      <c r="N45" s="25">
        <f t="shared" ref="N45:N92" si="4">(M45^2-120^2)/(2*300)+M45*(420-M45)/300</f>
        <v>266.31833333333333</v>
      </c>
      <c r="O45" s="32">
        <f t="shared" ref="O45:O92" si="5">M45-N45</f>
        <v>106.68166666666667</v>
      </c>
      <c r="P45" s="32">
        <f t="shared" ref="P45:P92" si="6">N45*5+O45*0.5*3-O45*0.5-M45*3-20</f>
        <v>299.27333333333331</v>
      </c>
      <c r="R45" s="25">
        <f t="shared" ref="R45:R51" si="7">P45</f>
        <v>299.27333333333331</v>
      </c>
      <c r="S45" s="2">
        <f t="shared" ref="S45:S51" si="8">S53</f>
        <v>370</v>
      </c>
      <c r="V45" s="1">
        <f>V44+1</f>
        <v>121</v>
      </c>
      <c r="W45" s="32">
        <f t="shared" si="1"/>
        <v>221.99333333333334</v>
      </c>
      <c r="X45" s="25">
        <f t="shared" si="2"/>
        <v>120.99833333333333</v>
      </c>
      <c r="Y45" s="32">
        <f t="shared" si="3"/>
        <v>1.6666666666651508E-3</v>
      </c>
    </row>
    <row r="46" spans="3:29">
      <c r="M46" s="1">
        <f t="shared" si="0"/>
        <v>374</v>
      </c>
      <c r="N46" s="25">
        <f t="shared" si="4"/>
        <v>266.47333333333336</v>
      </c>
      <c r="O46" s="32">
        <f t="shared" si="5"/>
        <v>107.52666666666664</v>
      </c>
      <c r="P46" s="32">
        <f t="shared" si="6"/>
        <v>297.89333333333343</v>
      </c>
      <c r="R46" s="25">
        <f t="shared" si="7"/>
        <v>297.89333333333343</v>
      </c>
      <c r="S46" s="2">
        <f t="shared" si="8"/>
        <v>370</v>
      </c>
      <c r="V46" s="1">
        <f>V45+1</f>
        <v>122</v>
      </c>
      <c r="W46" s="32">
        <f t="shared" si="1"/>
        <v>223.97333333333336</v>
      </c>
      <c r="X46" s="25">
        <f t="shared" si="2"/>
        <v>121.99333333333334</v>
      </c>
      <c r="Y46" s="32">
        <f t="shared" si="3"/>
        <v>6.6666666666606034E-3</v>
      </c>
    </row>
    <row r="47" spans="3:29">
      <c r="C47" s="1" t="s">
        <v>206</v>
      </c>
      <c r="M47" s="1">
        <f t="shared" si="0"/>
        <v>375</v>
      </c>
      <c r="N47" s="25">
        <f t="shared" si="4"/>
        <v>266.625</v>
      </c>
      <c r="O47" s="32">
        <f t="shared" si="5"/>
        <v>108.375</v>
      </c>
      <c r="P47" s="32">
        <f t="shared" si="6"/>
        <v>296.5</v>
      </c>
      <c r="R47" s="25">
        <f t="shared" si="7"/>
        <v>296.5</v>
      </c>
      <c r="S47" s="2">
        <f t="shared" si="8"/>
        <v>370</v>
      </c>
      <c r="V47" s="1">
        <f t="shared" ref="V47:V75" si="9">V46+1</f>
        <v>123</v>
      </c>
      <c r="W47" s="32">
        <f t="shared" si="1"/>
        <v>225.93999999999994</v>
      </c>
      <c r="X47" s="25">
        <f t="shared" si="2"/>
        <v>122.985</v>
      </c>
      <c r="Y47" s="32">
        <f t="shared" si="3"/>
        <v>1.5000000000000568E-2</v>
      </c>
    </row>
    <row r="48" spans="3:29">
      <c r="C48" s="1" t="s">
        <v>207</v>
      </c>
      <c r="H48" s="1">
        <f>(380^2-120^2)/(2*300)</f>
        <v>216.66666666666666</v>
      </c>
      <c r="M48" s="1">
        <f t="shared" si="0"/>
        <v>376</v>
      </c>
      <c r="N48" s="25">
        <f t="shared" si="4"/>
        <v>266.77333333333331</v>
      </c>
      <c r="O48" s="32">
        <f t="shared" si="5"/>
        <v>109.22666666666669</v>
      </c>
      <c r="P48" s="32">
        <f t="shared" si="6"/>
        <v>295.09333333333325</v>
      </c>
      <c r="R48" s="25">
        <f t="shared" si="7"/>
        <v>295.09333333333325</v>
      </c>
      <c r="S48" s="2">
        <f t="shared" si="8"/>
        <v>370</v>
      </c>
      <c r="V48" s="1">
        <f t="shared" si="9"/>
        <v>124</v>
      </c>
      <c r="W48" s="32">
        <f t="shared" si="1"/>
        <v>227.89333333333332</v>
      </c>
      <c r="X48" s="25">
        <f t="shared" si="2"/>
        <v>123.97333333333333</v>
      </c>
      <c r="Y48" s="32">
        <f t="shared" si="3"/>
        <v>2.6666666666670835E-2</v>
      </c>
    </row>
    <row r="49" spans="3:25">
      <c r="C49" s="1" t="s">
        <v>208</v>
      </c>
      <c r="G49" s="1">
        <f>H48*5+(380-H48)*0.5*3-(380-H48)*0.5-380*3</f>
        <v>106.66666666666652</v>
      </c>
      <c r="H49" s="1" t="s">
        <v>203</v>
      </c>
      <c r="M49" s="1">
        <f t="shared" si="0"/>
        <v>377</v>
      </c>
      <c r="N49" s="25">
        <f t="shared" si="4"/>
        <v>266.91833333333335</v>
      </c>
      <c r="O49" s="32">
        <f t="shared" si="5"/>
        <v>110.08166666666665</v>
      </c>
      <c r="P49" s="32">
        <f t="shared" si="6"/>
        <v>293.6733333333334</v>
      </c>
      <c r="R49" s="25">
        <f t="shared" si="7"/>
        <v>293.6733333333334</v>
      </c>
      <c r="S49" s="2">
        <f t="shared" si="8"/>
        <v>370</v>
      </c>
      <c r="V49" s="1">
        <f t="shared" si="9"/>
        <v>125</v>
      </c>
      <c r="W49" s="32">
        <f t="shared" si="1"/>
        <v>229.83333333333337</v>
      </c>
      <c r="X49" s="25">
        <f t="shared" si="2"/>
        <v>124.95833333333334</v>
      </c>
      <c r="Y49" s="32">
        <f t="shared" si="3"/>
        <v>4.1666666666657193E-2</v>
      </c>
    </row>
    <row r="50" spans="3:25">
      <c r="C50" s="1" t="s">
        <v>210</v>
      </c>
      <c r="I50" s="1">
        <f>1-(380-120)/(420-120)</f>
        <v>0.1333333333333333</v>
      </c>
      <c r="M50" s="1">
        <f t="shared" si="0"/>
        <v>378</v>
      </c>
      <c r="N50" s="25">
        <f t="shared" si="4"/>
        <v>267.06</v>
      </c>
      <c r="O50" s="32">
        <f t="shared" si="5"/>
        <v>110.94</v>
      </c>
      <c r="P50" s="32">
        <f t="shared" si="6"/>
        <v>292.24</v>
      </c>
      <c r="R50" s="25">
        <f t="shared" si="7"/>
        <v>292.24</v>
      </c>
      <c r="S50" s="2">
        <f t="shared" si="8"/>
        <v>370</v>
      </c>
      <c r="V50" s="1">
        <f t="shared" si="9"/>
        <v>126</v>
      </c>
      <c r="W50" s="32">
        <f t="shared" si="1"/>
        <v>231.7600000000001</v>
      </c>
      <c r="X50" s="25">
        <f t="shared" si="2"/>
        <v>125.94</v>
      </c>
      <c r="Y50" s="32">
        <f t="shared" si="3"/>
        <v>6.0000000000002274E-2</v>
      </c>
    </row>
    <row r="51" spans="3:25">
      <c r="C51" s="1" t="s">
        <v>198</v>
      </c>
      <c r="E51" s="1">
        <v>380</v>
      </c>
      <c r="M51" s="1">
        <f>M52-1</f>
        <v>379</v>
      </c>
      <c r="N51" s="25">
        <f t="shared" si="4"/>
        <v>267.19833333333332</v>
      </c>
      <c r="O51" s="32">
        <f t="shared" si="5"/>
        <v>111.80166666666668</v>
      </c>
      <c r="P51" s="32">
        <f t="shared" si="6"/>
        <v>290.79333333333329</v>
      </c>
      <c r="R51" s="25">
        <f t="shared" si="7"/>
        <v>290.79333333333329</v>
      </c>
      <c r="S51" s="2">
        <f t="shared" si="8"/>
        <v>370</v>
      </c>
      <c r="V51" s="1">
        <f t="shared" si="9"/>
        <v>127</v>
      </c>
      <c r="W51" s="32">
        <f t="shared" si="1"/>
        <v>233.67333333333329</v>
      </c>
      <c r="X51" s="25">
        <f t="shared" si="2"/>
        <v>126.91833333333332</v>
      </c>
      <c r="Y51" s="32">
        <f t="shared" si="3"/>
        <v>8.1666666666677656E-2</v>
      </c>
    </row>
    <row r="52" spans="3:25">
      <c r="C52" s="1" t="s">
        <v>199</v>
      </c>
      <c r="F52" s="1">
        <f>380*5-380*3</f>
        <v>760</v>
      </c>
      <c r="M52" s="66">
        <v>380</v>
      </c>
      <c r="N52" s="25">
        <f t="shared" si="4"/>
        <v>267.33333333333331</v>
      </c>
      <c r="O52" s="32">
        <f t="shared" si="5"/>
        <v>112.66666666666669</v>
      </c>
      <c r="P52" s="32">
        <f t="shared" si="6"/>
        <v>289.33333333333326</v>
      </c>
      <c r="R52" s="25">
        <f>P52+40000*0.03*(1-(380-120)/300)</f>
        <v>449.33333333333326</v>
      </c>
      <c r="S52" s="2">
        <f>'1and2'!J30</f>
        <v>370</v>
      </c>
      <c r="U52" s="1">
        <f>(380-120)/300</f>
        <v>0.8666666666666667</v>
      </c>
      <c r="V52" s="1">
        <f t="shared" si="9"/>
        <v>128</v>
      </c>
      <c r="W52" s="32">
        <f t="shared" si="1"/>
        <v>235.57333333333338</v>
      </c>
      <c r="X52" s="25">
        <f t="shared" si="2"/>
        <v>127.89333333333335</v>
      </c>
      <c r="Y52" s="32">
        <f t="shared" si="3"/>
        <v>0.10666666666665492</v>
      </c>
    </row>
    <row r="53" spans="3:25">
      <c r="C53" s="1" t="s">
        <v>200</v>
      </c>
      <c r="F53" s="1">
        <f>F52+40000</f>
        <v>40760</v>
      </c>
      <c r="M53" s="1">
        <f>M52+1</f>
        <v>381</v>
      </c>
      <c r="N53" s="25">
        <f t="shared" si="4"/>
        <v>267.46500000000003</v>
      </c>
      <c r="O53" s="32">
        <f t="shared" si="5"/>
        <v>113.53499999999997</v>
      </c>
      <c r="P53" s="32">
        <f t="shared" si="6"/>
        <v>287.86000000000035</v>
      </c>
      <c r="R53" s="25">
        <f t="shared" ref="R53:R71" si="10">P53+40000*0.03*(1-(380-120)/300)</f>
        <v>447.86000000000035</v>
      </c>
      <c r="S53" s="2">
        <f>S52</f>
        <v>370</v>
      </c>
      <c r="U53" s="1">
        <f>1-U52</f>
        <v>0.1333333333333333</v>
      </c>
      <c r="V53" s="1">
        <f t="shared" si="9"/>
        <v>129</v>
      </c>
      <c r="W53" s="32">
        <f t="shared" si="1"/>
        <v>237.46000000000004</v>
      </c>
      <c r="X53" s="25">
        <f t="shared" si="2"/>
        <v>128.86500000000001</v>
      </c>
      <c r="Y53" s="32">
        <f t="shared" si="3"/>
        <v>0.13499999999999091</v>
      </c>
    </row>
    <row r="54" spans="3:25">
      <c r="C54" s="1" t="s">
        <v>211</v>
      </c>
      <c r="G54" s="1">
        <f>I50*(F52*(1-E14)+F53*E14)</f>
        <v>261.33333333333326</v>
      </c>
      <c r="M54" s="1">
        <f t="shared" ref="M54:M92" si="11">M53+1</f>
        <v>382</v>
      </c>
      <c r="N54" s="25">
        <f t="shared" si="4"/>
        <v>267.59333333333336</v>
      </c>
      <c r="O54" s="32">
        <f t="shared" si="5"/>
        <v>114.40666666666664</v>
      </c>
      <c r="P54" s="32">
        <f t="shared" si="6"/>
        <v>286.37333333333322</v>
      </c>
      <c r="R54" s="25">
        <f t="shared" si="10"/>
        <v>446.37333333333322</v>
      </c>
      <c r="S54" s="2">
        <f t="shared" ref="S54:S92" si="12">S53</f>
        <v>370</v>
      </c>
      <c r="U54" s="1">
        <f>U53*0.03*40000</f>
        <v>159.99999999999997</v>
      </c>
      <c r="V54" s="1">
        <f t="shared" si="9"/>
        <v>130</v>
      </c>
      <c r="W54" s="32">
        <f t="shared" si="1"/>
        <v>239.33333333333337</v>
      </c>
      <c r="X54" s="25">
        <f t="shared" si="2"/>
        <v>129.83333333333334</v>
      </c>
      <c r="Y54" s="32">
        <f t="shared" si="3"/>
        <v>0.16666666666665719</v>
      </c>
    </row>
    <row r="55" spans="3:25">
      <c r="C55" s="1" t="s">
        <v>28</v>
      </c>
      <c r="E55" s="1">
        <f>G54+G49-20</f>
        <v>347.99999999999977</v>
      </c>
      <c r="G55" s="1" t="s">
        <v>209</v>
      </c>
      <c r="M55" s="1">
        <f t="shared" si="11"/>
        <v>383</v>
      </c>
      <c r="N55" s="25">
        <f t="shared" si="4"/>
        <v>267.71833333333331</v>
      </c>
      <c r="O55" s="32">
        <f t="shared" si="5"/>
        <v>115.28166666666669</v>
      </c>
      <c r="P55" s="32">
        <f t="shared" si="6"/>
        <v>284.87333333333322</v>
      </c>
      <c r="R55" s="25">
        <f t="shared" si="10"/>
        <v>444.87333333333322</v>
      </c>
      <c r="S55" s="2">
        <f t="shared" si="12"/>
        <v>370</v>
      </c>
      <c r="V55" s="1">
        <f t="shared" si="9"/>
        <v>131</v>
      </c>
      <c r="W55" s="32">
        <f t="shared" si="1"/>
        <v>241.1933333333335</v>
      </c>
      <c r="X55" s="25">
        <f t="shared" si="2"/>
        <v>130.79833333333335</v>
      </c>
      <c r="Y55" s="32">
        <f t="shared" si="3"/>
        <v>0.20166666666665378</v>
      </c>
    </row>
    <row r="56" spans="3:25">
      <c r="C56" s="1" t="s">
        <v>204</v>
      </c>
      <c r="F56" s="3">
        <f>F45</f>
        <v>370</v>
      </c>
      <c r="G56" s="1" t="s">
        <v>205</v>
      </c>
      <c r="M56" s="1">
        <f t="shared" si="11"/>
        <v>384</v>
      </c>
      <c r="N56" s="25">
        <f t="shared" si="4"/>
        <v>267.83999999999997</v>
      </c>
      <c r="O56" s="32">
        <f t="shared" si="5"/>
        <v>116.16000000000003</v>
      </c>
      <c r="P56" s="32">
        <f t="shared" si="6"/>
        <v>283.3599999999999</v>
      </c>
      <c r="R56" s="25">
        <f t="shared" si="10"/>
        <v>443.3599999999999</v>
      </c>
      <c r="S56" s="2">
        <f t="shared" si="12"/>
        <v>370</v>
      </c>
      <c r="V56" s="1">
        <f t="shared" si="9"/>
        <v>132</v>
      </c>
      <c r="W56" s="32">
        <f t="shared" si="1"/>
        <v>243.03999999999996</v>
      </c>
      <c r="X56" s="25">
        <f t="shared" si="2"/>
        <v>131.76</v>
      </c>
      <c r="Y56" s="32">
        <f t="shared" si="3"/>
        <v>0.24000000000000909</v>
      </c>
    </row>
    <row r="57" spans="3:25">
      <c r="M57" s="1">
        <f t="shared" si="11"/>
        <v>385</v>
      </c>
      <c r="N57" s="25">
        <f t="shared" si="4"/>
        <v>267.95833333333331</v>
      </c>
      <c r="O57" s="32">
        <f t="shared" si="5"/>
        <v>117.04166666666669</v>
      </c>
      <c r="P57" s="32">
        <f t="shared" si="6"/>
        <v>281.83333333333326</v>
      </c>
      <c r="R57" s="25">
        <f t="shared" si="10"/>
        <v>441.83333333333326</v>
      </c>
      <c r="S57" s="2">
        <f t="shared" si="12"/>
        <v>370</v>
      </c>
      <c r="V57" s="1">
        <f t="shared" si="9"/>
        <v>133</v>
      </c>
      <c r="W57" s="32">
        <f t="shared" si="1"/>
        <v>244.87333333333333</v>
      </c>
      <c r="X57" s="25">
        <f t="shared" si="2"/>
        <v>132.71833333333333</v>
      </c>
      <c r="Y57" s="32">
        <f t="shared" si="3"/>
        <v>0.28166666666666629</v>
      </c>
    </row>
    <row r="58" spans="3:25">
      <c r="C58" s="1" t="s">
        <v>218</v>
      </c>
      <c r="M58" s="1">
        <f t="shared" si="11"/>
        <v>386</v>
      </c>
      <c r="N58" s="25">
        <f t="shared" si="4"/>
        <v>268.07333333333332</v>
      </c>
      <c r="O58" s="32">
        <f t="shared" si="5"/>
        <v>117.92666666666668</v>
      </c>
      <c r="P58" s="32">
        <f t="shared" si="6"/>
        <v>280.29333333333329</v>
      </c>
      <c r="R58" s="25">
        <f t="shared" si="10"/>
        <v>440.29333333333329</v>
      </c>
      <c r="S58" s="2">
        <f t="shared" si="12"/>
        <v>370</v>
      </c>
      <c r="V58" s="1">
        <f t="shared" si="9"/>
        <v>134</v>
      </c>
      <c r="W58" s="32">
        <f t="shared" si="1"/>
        <v>246.6933333333335</v>
      </c>
      <c r="X58" s="25">
        <f t="shared" si="2"/>
        <v>133.67333333333335</v>
      </c>
      <c r="Y58" s="32">
        <f t="shared" si="3"/>
        <v>0.32666666666665378</v>
      </c>
    </row>
    <row r="59" spans="3:25">
      <c r="C59" s="1" t="s">
        <v>219</v>
      </c>
      <c r="E59" s="1">
        <f>(120+420)/2</f>
        <v>270</v>
      </c>
      <c r="M59" s="1">
        <f t="shared" si="11"/>
        <v>387</v>
      </c>
      <c r="N59" s="25">
        <f t="shared" si="4"/>
        <v>268.185</v>
      </c>
      <c r="O59" s="32">
        <f t="shared" si="5"/>
        <v>118.815</v>
      </c>
      <c r="P59" s="32">
        <f t="shared" si="6"/>
        <v>278.74</v>
      </c>
      <c r="R59" s="25">
        <f t="shared" si="10"/>
        <v>438.74</v>
      </c>
      <c r="S59" s="2">
        <f t="shared" si="12"/>
        <v>370</v>
      </c>
      <c r="V59" s="1">
        <f t="shared" si="9"/>
        <v>135</v>
      </c>
      <c r="W59" s="32">
        <f t="shared" si="1"/>
        <v>248.5</v>
      </c>
      <c r="X59" s="25">
        <f t="shared" si="2"/>
        <v>134.625</v>
      </c>
      <c r="Y59" s="32">
        <f t="shared" si="3"/>
        <v>0.375</v>
      </c>
    </row>
    <row r="60" spans="3:25">
      <c r="C60" s="1" t="s">
        <v>220</v>
      </c>
      <c r="E60" s="3">
        <f>E59*5+(420-E59)*3*0.5-(420-E59)*0.5-420*3+40000*(E14*H36+E13*G37)-20</f>
        <v>433.33333333333326</v>
      </c>
      <c r="G60" s="1" t="s">
        <v>209</v>
      </c>
      <c r="M60" s="1">
        <f t="shared" si="11"/>
        <v>388</v>
      </c>
      <c r="N60" s="25">
        <f t="shared" si="4"/>
        <v>268.29333333333335</v>
      </c>
      <c r="O60" s="32">
        <f t="shared" si="5"/>
        <v>119.70666666666665</v>
      </c>
      <c r="P60" s="32">
        <f t="shared" si="6"/>
        <v>277.1733333333334</v>
      </c>
      <c r="R60" s="25">
        <f t="shared" si="10"/>
        <v>437.1733333333334</v>
      </c>
      <c r="S60" s="2">
        <f t="shared" si="12"/>
        <v>370</v>
      </c>
      <c r="V60" s="1">
        <f t="shared" si="9"/>
        <v>136</v>
      </c>
      <c r="W60" s="32">
        <f t="shared" si="1"/>
        <v>250.29333333333318</v>
      </c>
      <c r="X60" s="25">
        <f t="shared" si="2"/>
        <v>135.57333333333332</v>
      </c>
      <c r="Y60" s="32">
        <f t="shared" si="3"/>
        <v>0.42666666666667652</v>
      </c>
    </row>
    <row r="61" spans="3:25">
      <c r="M61" s="1">
        <f t="shared" si="11"/>
        <v>389</v>
      </c>
      <c r="N61" s="25">
        <f t="shared" si="4"/>
        <v>268.39833333333331</v>
      </c>
      <c r="O61" s="32">
        <f t="shared" si="5"/>
        <v>120.60166666666669</v>
      </c>
      <c r="P61" s="32">
        <f t="shared" si="6"/>
        <v>275.59333333333325</v>
      </c>
      <c r="R61" s="25">
        <f t="shared" si="10"/>
        <v>435.59333333333325</v>
      </c>
      <c r="S61" s="2">
        <f t="shared" si="12"/>
        <v>370</v>
      </c>
      <c r="V61" s="1">
        <f t="shared" si="9"/>
        <v>137</v>
      </c>
      <c r="W61" s="32">
        <f t="shared" si="1"/>
        <v>252.07333333333338</v>
      </c>
      <c r="X61" s="25">
        <f t="shared" si="2"/>
        <v>136.51833333333335</v>
      </c>
      <c r="Y61" s="32">
        <f t="shared" si="3"/>
        <v>0.48166666666665492</v>
      </c>
    </row>
    <row r="62" spans="3:25">
      <c r="M62" s="1">
        <f t="shared" si="11"/>
        <v>390</v>
      </c>
      <c r="N62" s="25">
        <f t="shared" si="4"/>
        <v>268.5</v>
      </c>
      <c r="O62" s="32">
        <f t="shared" si="5"/>
        <v>121.5</v>
      </c>
      <c r="P62" s="32">
        <f t="shared" si="6"/>
        <v>274</v>
      </c>
      <c r="R62" s="25">
        <f t="shared" si="10"/>
        <v>434</v>
      </c>
      <c r="S62" s="2">
        <f t="shared" si="12"/>
        <v>370</v>
      </c>
      <c r="V62" s="1">
        <f t="shared" si="9"/>
        <v>138</v>
      </c>
      <c r="W62" s="32">
        <f t="shared" si="1"/>
        <v>253.84000000000003</v>
      </c>
      <c r="X62" s="25">
        <f t="shared" si="2"/>
        <v>137.46</v>
      </c>
      <c r="Y62" s="32">
        <f t="shared" si="3"/>
        <v>0.53999999999999204</v>
      </c>
    </row>
    <row r="63" spans="3:25">
      <c r="C63" s="1" t="s">
        <v>221</v>
      </c>
      <c r="M63" s="1">
        <f t="shared" si="11"/>
        <v>391</v>
      </c>
      <c r="N63" s="25">
        <f t="shared" si="4"/>
        <v>268.59833333333336</v>
      </c>
      <c r="O63" s="32">
        <f t="shared" si="5"/>
        <v>122.40166666666664</v>
      </c>
      <c r="P63" s="32">
        <f t="shared" si="6"/>
        <v>272.39333333333343</v>
      </c>
      <c r="R63" s="25">
        <f t="shared" si="10"/>
        <v>432.39333333333343</v>
      </c>
      <c r="S63" s="2">
        <f t="shared" si="12"/>
        <v>370</v>
      </c>
      <c r="V63" s="1">
        <f t="shared" si="9"/>
        <v>139</v>
      </c>
      <c r="W63" s="32">
        <f t="shared" si="1"/>
        <v>255.59333333333325</v>
      </c>
      <c r="X63" s="25">
        <f t="shared" si="2"/>
        <v>138.39833333333331</v>
      </c>
      <c r="Y63" s="32">
        <f t="shared" si="3"/>
        <v>0.60166666666668789</v>
      </c>
    </row>
    <row r="64" spans="3:25">
      <c r="C64" s="1" t="s">
        <v>222</v>
      </c>
      <c r="E64" s="1" t="s">
        <v>223</v>
      </c>
      <c r="M64" s="1">
        <f t="shared" si="11"/>
        <v>392</v>
      </c>
      <c r="N64" s="25">
        <f t="shared" si="4"/>
        <v>268.69333333333333</v>
      </c>
      <c r="O64" s="32">
        <f t="shared" si="5"/>
        <v>123.30666666666667</v>
      </c>
      <c r="P64" s="32">
        <f t="shared" si="6"/>
        <v>270.77333333333331</v>
      </c>
      <c r="R64" s="25">
        <f t="shared" si="10"/>
        <v>430.77333333333331</v>
      </c>
      <c r="S64" s="2">
        <f t="shared" si="12"/>
        <v>370</v>
      </c>
      <c r="V64" s="1">
        <f t="shared" si="9"/>
        <v>140</v>
      </c>
      <c r="W64" s="32">
        <f t="shared" si="1"/>
        <v>257.33333333333314</v>
      </c>
      <c r="X64" s="25">
        <f t="shared" si="2"/>
        <v>139.33333333333331</v>
      </c>
      <c r="Y64" s="32">
        <f t="shared" si="3"/>
        <v>0.66666666666668561</v>
      </c>
    </row>
    <row r="65" spans="2:25">
      <c r="B65" s="1" t="s">
        <v>224</v>
      </c>
      <c r="C65" s="1">
        <f>'1and2'!C23</f>
        <v>270</v>
      </c>
      <c r="D65" s="1">
        <v>380</v>
      </c>
      <c r="E65" s="1">
        <v>400</v>
      </c>
      <c r="F65" s="1">
        <v>420</v>
      </c>
      <c r="M65" s="1">
        <f t="shared" si="11"/>
        <v>393</v>
      </c>
      <c r="N65" s="25">
        <f t="shared" si="4"/>
        <v>268.78499999999997</v>
      </c>
      <c r="O65" s="32">
        <f t="shared" si="5"/>
        <v>124.21500000000003</v>
      </c>
      <c r="P65" s="32">
        <f t="shared" si="6"/>
        <v>269.13999999999965</v>
      </c>
      <c r="R65" s="25">
        <f t="shared" si="10"/>
        <v>429.13999999999965</v>
      </c>
      <c r="S65" s="2">
        <f t="shared" si="12"/>
        <v>370</v>
      </c>
      <c r="V65" s="1">
        <f t="shared" si="9"/>
        <v>141</v>
      </c>
      <c r="W65" s="32">
        <f t="shared" si="1"/>
        <v>259.05999999999995</v>
      </c>
      <c r="X65" s="25">
        <f t="shared" si="2"/>
        <v>140.26499999999999</v>
      </c>
      <c r="Y65" s="32">
        <f t="shared" si="3"/>
        <v>0.73500000000001364</v>
      </c>
    </row>
    <row r="66" spans="2:25">
      <c r="B66" s="1" t="s">
        <v>225</v>
      </c>
      <c r="C66" s="2">
        <f>'1and2'!J30</f>
        <v>370</v>
      </c>
      <c r="D66" s="2">
        <f>E55</f>
        <v>347.99999999999977</v>
      </c>
      <c r="E66" s="2">
        <f>E44</f>
        <v>417.33333333333314</v>
      </c>
      <c r="F66" s="2">
        <f>E60</f>
        <v>433.33333333333326</v>
      </c>
      <c r="M66" s="1">
        <f t="shared" si="11"/>
        <v>394</v>
      </c>
      <c r="N66" s="25">
        <f t="shared" si="4"/>
        <v>268.87333333333333</v>
      </c>
      <c r="O66" s="32">
        <f t="shared" si="5"/>
        <v>125.12666666666667</v>
      </c>
      <c r="P66" s="32">
        <f t="shared" si="6"/>
        <v>267.49333333333357</v>
      </c>
      <c r="R66" s="25">
        <f t="shared" si="10"/>
        <v>427.49333333333357</v>
      </c>
      <c r="S66" s="2">
        <f t="shared" si="12"/>
        <v>370</v>
      </c>
      <c r="V66" s="1">
        <f t="shared" si="9"/>
        <v>142</v>
      </c>
      <c r="W66" s="32">
        <f t="shared" si="1"/>
        <v>260.77333333333343</v>
      </c>
      <c r="X66" s="25">
        <f t="shared" si="2"/>
        <v>141.19333333333333</v>
      </c>
      <c r="Y66" s="32">
        <f t="shared" si="3"/>
        <v>0.80666666666667197</v>
      </c>
    </row>
    <row r="67" spans="2:25">
      <c r="M67" s="1">
        <f t="shared" si="11"/>
        <v>395</v>
      </c>
      <c r="N67" s="25">
        <f t="shared" si="4"/>
        <v>268.95833333333331</v>
      </c>
      <c r="O67" s="32">
        <f t="shared" si="5"/>
        <v>126.04166666666669</v>
      </c>
      <c r="P67" s="32">
        <f t="shared" si="6"/>
        <v>265.83333333333326</v>
      </c>
      <c r="R67" s="25">
        <f t="shared" si="10"/>
        <v>425.83333333333326</v>
      </c>
      <c r="S67" s="2">
        <f t="shared" si="12"/>
        <v>370</v>
      </c>
      <c r="V67" s="1">
        <f t="shared" si="9"/>
        <v>143</v>
      </c>
      <c r="W67" s="32">
        <f t="shared" si="1"/>
        <v>262.47333333333336</v>
      </c>
      <c r="X67" s="25">
        <f t="shared" si="2"/>
        <v>142.11833333333334</v>
      </c>
      <c r="Y67" s="32">
        <f t="shared" si="3"/>
        <v>0.8816666666666606</v>
      </c>
    </row>
    <row r="68" spans="2:25">
      <c r="M68" s="1">
        <f t="shared" si="11"/>
        <v>396</v>
      </c>
      <c r="N68" s="25">
        <f t="shared" si="4"/>
        <v>269.04000000000002</v>
      </c>
      <c r="O68" s="32">
        <f t="shared" si="5"/>
        <v>126.95999999999998</v>
      </c>
      <c r="P68" s="32">
        <f t="shared" si="6"/>
        <v>264.16000000000008</v>
      </c>
      <c r="R68" s="25">
        <f t="shared" si="10"/>
        <v>424.16000000000008</v>
      </c>
      <c r="S68" s="2">
        <f t="shared" si="12"/>
        <v>370</v>
      </c>
      <c r="V68" s="1">
        <f t="shared" si="9"/>
        <v>144</v>
      </c>
      <c r="W68" s="32">
        <f t="shared" si="1"/>
        <v>264.15999999999997</v>
      </c>
      <c r="X68" s="25">
        <f t="shared" si="2"/>
        <v>143.04</v>
      </c>
      <c r="Y68" s="32">
        <f t="shared" si="3"/>
        <v>0.96000000000000796</v>
      </c>
    </row>
    <row r="69" spans="2:25">
      <c r="M69" s="1">
        <f t="shared" si="11"/>
        <v>397</v>
      </c>
      <c r="N69" s="25">
        <f t="shared" si="4"/>
        <v>269.11833333333334</v>
      </c>
      <c r="O69" s="32">
        <f t="shared" si="5"/>
        <v>127.88166666666666</v>
      </c>
      <c r="P69" s="32">
        <f t="shared" si="6"/>
        <v>262.47333333333336</v>
      </c>
      <c r="R69" s="25">
        <f t="shared" si="10"/>
        <v>422.47333333333336</v>
      </c>
      <c r="S69" s="2">
        <f t="shared" si="12"/>
        <v>370</v>
      </c>
      <c r="V69" s="1">
        <f t="shared" si="9"/>
        <v>145</v>
      </c>
      <c r="W69" s="32">
        <f t="shared" si="1"/>
        <v>265.83333333333314</v>
      </c>
      <c r="X69" s="25">
        <f t="shared" si="2"/>
        <v>143.95833333333331</v>
      </c>
      <c r="Y69" s="32">
        <f t="shared" si="3"/>
        <v>1.0416666666666856</v>
      </c>
    </row>
    <row r="70" spans="2:25">
      <c r="M70" s="1">
        <f t="shared" si="11"/>
        <v>398</v>
      </c>
      <c r="N70" s="25">
        <f t="shared" si="4"/>
        <v>269.19333333333333</v>
      </c>
      <c r="O70" s="32">
        <f t="shared" si="5"/>
        <v>128.80666666666667</v>
      </c>
      <c r="P70" s="32">
        <f t="shared" si="6"/>
        <v>260.77333333333331</v>
      </c>
      <c r="R70" s="25">
        <f t="shared" si="10"/>
        <v>420.77333333333331</v>
      </c>
      <c r="S70" s="2">
        <f t="shared" si="12"/>
        <v>370</v>
      </c>
      <c r="V70" s="1">
        <f t="shared" si="9"/>
        <v>146</v>
      </c>
      <c r="W70" s="32">
        <f t="shared" si="1"/>
        <v>267.49333333333334</v>
      </c>
      <c r="X70" s="25">
        <f t="shared" si="2"/>
        <v>144.87333333333333</v>
      </c>
      <c r="Y70" s="32">
        <f t="shared" si="3"/>
        <v>1.1266666666666652</v>
      </c>
    </row>
    <row r="71" spans="2:25">
      <c r="M71" s="1">
        <f t="shared" si="11"/>
        <v>399</v>
      </c>
      <c r="N71" s="25">
        <f t="shared" si="4"/>
        <v>269.26499999999999</v>
      </c>
      <c r="O71" s="32">
        <f t="shared" si="5"/>
        <v>129.73500000000001</v>
      </c>
      <c r="P71" s="32">
        <f t="shared" si="6"/>
        <v>259.05999999999972</v>
      </c>
      <c r="R71" s="25">
        <f t="shared" si="10"/>
        <v>419.05999999999972</v>
      </c>
      <c r="S71" s="2">
        <f t="shared" si="12"/>
        <v>370</v>
      </c>
      <c r="V71" s="1">
        <f t="shared" si="9"/>
        <v>147</v>
      </c>
      <c r="W71" s="32">
        <f t="shared" si="1"/>
        <v>269.14000000000021</v>
      </c>
      <c r="X71" s="25">
        <f t="shared" si="2"/>
        <v>145.78500000000003</v>
      </c>
      <c r="Y71" s="32">
        <f t="shared" si="3"/>
        <v>1.214999999999975</v>
      </c>
    </row>
    <row r="72" spans="2:25">
      <c r="M72" s="66">
        <f t="shared" si="11"/>
        <v>400</v>
      </c>
      <c r="N72" s="25">
        <f t="shared" si="4"/>
        <v>269.33333333333331</v>
      </c>
      <c r="O72" s="32">
        <f t="shared" si="5"/>
        <v>130.66666666666669</v>
      </c>
      <c r="P72" s="32">
        <f t="shared" si="6"/>
        <v>257.33333333333326</v>
      </c>
      <c r="R72" s="25">
        <f>P72+40000*0.05*(1-(400-120)/300)+40000*0.03*((400-120)/300-(380-120)/300)</f>
        <v>470.66666666666657</v>
      </c>
      <c r="S72" s="2">
        <f t="shared" si="12"/>
        <v>370</v>
      </c>
      <c r="V72" s="1">
        <f t="shared" si="9"/>
        <v>148</v>
      </c>
      <c r="W72" s="32">
        <f t="shared" si="1"/>
        <v>270.77333333333343</v>
      </c>
      <c r="X72" s="25">
        <f t="shared" si="2"/>
        <v>146.69333333333333</v>
      </c>
      <c r="Y72" s="32">
        <f t="shared" si="3"/>
        <v>1.306666666666672</v>
      </c>
    </row>
    <row r="73" spans="2:25">
      <c r="M73" s="1">
        <f t="shared" si="11"/>
        <v>401</v>
      </c>
      <c r="N73" s="25">
        <f t="shared" si="4"/>
        <v>269.39833333333331</v>
      </c>
      <c r="O73" s="32">
        <f t="shared" si="5"/>
        <v>131.60166666666669</v>
      </c>
      <c r="P73" s="32">
        <f t="shared" si="6"/>
        <v>255.59333333333325</v>
      </c>
      <c r="R73" s="25">
        <f t="shared" ref="R73:R91" si="13">P73+40000*0.05*(1-(400-120)/300)+40000*0.03*((400-120)/300-(380-120)/300)</f>
        <v>468.92666666666656</v>
      </c>
      <c r="S73" s="2">
        <f t="shared" si="12"/>
        <v>370</v>
      </c>
      <c r="V73" s="1">
        <f t="shared" si="9"/>
        <v>149</v>
      </c>
      <c r="W73" s="32">
        <f t="shared" si="1"/>
        <v>272.39333333333332</v>
      </c>
      <c r="X73" s="25">
        <f t="shared" si="2"/>
        <v>147.59833333333333</v>
      </c>
      <c r="Y73" s="32">
        <f t="shared" si="3"/>
        <v>1.4016666666666708</v>
      </c>
    </row>
    <row r="74" spans="2:25">
      <c r="M74" s="1">
        <f t="shared" si="11"/>
        <v>402</v>
      </c>
      <c r="N74" s="25">
        <f t="shared" si="4"/>
        <v>269.45999999999998</v>
      </c>
      <c r="O74" s="32">
        <f t="shared" si="5"/>
        <v>132.54000000000002</v>
      </c>
      <c r="P74" s="32">
        <f t="shared" si="6"/>
        <v>253.83999999999992</v>
      </c>
      <c r="R74" s="25">
        <f t="shared" si="13"/>
        <v>467.17333333333323</v>
      </c>
      <c r="S74" s="2">
        <f t="shared" si="12"/>
        <v>370</v>
      </c>
      <c r="V74" s="1">
        <f t="shared" si="9"/>
        <v>150</v>
      </c>
      <c r="W74" s="32">
        <f t="shared" si="1"/>
        <v>274</v>
      </c>
      <c r="X74" s="25">
        <f t="shared" si="2"/>
        <v>148.5</v>
      </c>
      <c r="Y74" s="32">
        <f t="shared" si="3"/>
        <v>1.5</v>
      </c>
    </row>
    <row r="75" spans="2:25">
      <c r="M75" s="1">
        <f t="shared" si="11"/>
        <v>403</v>
      </c>
      <c r="N75" s="25">
        <f t="shared" si="4"/>
        <v>269.51833333333332</v>
      </c>
      <c r="O75" s="32">
        <f t="shared" si="5"/>
        <v>133.48166666666668</v>
      </c>
      <c r="P75" s="32">
        <f t="shared" si="6"/>
        <v>252.07333333333349</v>
      </c>
      <c r="R75" s="25">
        <f t="shared" si="13"/>
        <v>465.40666666666681</v>
      </c>
      <c r="S75" s="2">
        <f t="shared" si="12"/>
        <v>370</v>
      </c>
      <c r="V75" s="1">
        <f t="shared" si="9"/>
        <v>151</v>
      </c>
      <c r="W75" s="32">
        <f t="shared" si="1"/>
        <v>275.59333333333336</v>
      </c>
      <c r="X75" s="25">
        <f t="shared" si="2"/>
        <v>149.39833333333334</v>
      </c>
      <c r="Y75" s="32">
        <f t="shared" si="3"/>
        <v>1.6016666666666595</v>
      </c>
    </row>
    <row r="76" spans="2:25">
      <c r="M76" s="1">
        <f>M75+1</f>
        <v>404</v>
      </c>
      <c r="N76" s="25">
        <f t="shared" si="4"/>
        <v>269.57333333333332</v>
      </c>
      <c r="O76" s="32">
        <f t="shared" si="5"/>
        <v>134.42666666666668</v>
      </c>
      <c r="P76" s="32">
        <f t="shared" si="6"/>
        <v>250.29333333333329</v>
      </c>
      <c r="R76" s="25">
        <f t="shared" si="13"/>
        <v>463.62666666666661</v>
      </c>
      <c r="S76" s="2">
        <f t="shared" si="12"/>
        <v>370</v>
      </c>
      <c r="V76" s="1">
        <f t="shared" ref="V76:V139" si="14">V75+1</f>
        <v>152</v>
      </c>
      <c r="W76" s="32">
        <f t="shared" si="1"/>
        <v>277.17333333333329</v>
      </c>
      <c r="X76" s="25">
        <f t="shared" si="2"/>
        <v>150.29333333333332</v>
      </c>
      <c r="Y76" s="32">
        <f t="shared" si="3"/>
        <v>1.7066666666666777</v>
      </c>
    </row>
    <row r="77" spans="2:25">
      <c r="M77" s="1">
        <f t="shared" si="11"/>
        <v>405</v>
      </c>
      <c r="N77" s="25">
        <f t="shared" si="4"/>
        <v>269.625</v>
      </c>
      <c r="O77" s="32">
        <f t="shared" si="5"/>
        <v>135.375</v>
      </c>
      <c r="P77" s="32">
        <f t="shared" si="6"/>
        <v>248.5</v>
      </c>
      <c r="R77" s="25">
        <f t="shared" si="13"/>
        <v>461.83333333333331</v>
      </c>
      <c r="S77" s="2">
        <f t="shared" si="12"/>
        <v>370</v>
      </c>
      <c r="V77" s="1">
        <f t="shared" si="14"/>
        <v>153</v>
      </c>
      <c r="W77" s="32">
        <f t="shared" si="1"/>
        <v>278.7399999999999</v>
      </c>
      <c r="X77" s="25">
        <f t="shared" si="2"/>
        <v>151.185</v>
      </c>
      <c r="Y77" s="32">
        <f t="shared" si="3"/>
        <v>1.8149999999999977</v>
      </c>
    </row>
    <row r="78" spans="2:25">
      <c r="M78" s="1">
        <f t="shared" si="11"/>
        <v>406</v>
      </c>
      <c r="N78" s="25">
        <f t="shared" si="4"/>
        <v>269.67333333333335</v>
      </c>
      <c r="O78" s="32">
        <f t="shared" si="5"/>
        <v>136.32666666666665</v>
      </c>
      <c r="P78" s="32">
        <f t="shared" si="6"/>
        <v>246.69333333333338</v>
      </c>
      <c r="R78" s="25">
        <f t="shared" si="13"/>
        <v>460.0266666666667</v>
      </c>
      <c r="S78" s="2">
        <f t="shared" si="12"/>
        <v>370</v>
      </c>
      <c r="V78" s="1">
        <f t="shared" si="14"/>
        <v>154</v>
      </c>
      <c r="W78" s="32">
        <f t="shared" si="1"/>
        <v>280.29333333333318</v>
      </c>
      <c r="X78" s="25">
        <f t="shared" si="2"/>
        <v>152.07333333333332</v>
      </c>
      <c r="Y78" s="32">
        <f t="shared" si="3"/>
        <v>1.9266666666666765</v>
      </c>
    </row>
    <row r="79" spans="2:25">
      <c r="M79" s="1">
        <f t="shared" si="11"/>
        <v>407</v>
      </c>
      <c r="N79" s="25">
        <f t="shared" si="4"/>
        <v>269.71833333333336</v>
      </c>
      <c r="O79" s="32">
        <f t="shared" si="5"/>
        <v>137.28166666666664</v>
      </c>
      <c r="P79" s="32">
        <f t="shared" si="6"/>
        <v>244.87333333333322</v>
      </c>
      <c r="R79" s="25">
        <f t="shared" si="13"/>
        <v>458.20666666666654</v>
      </c>
      <c r="S79" s="2">
        <f t="shared" si="12"/>
        <v>370</v>
      </c>
      <c r="V79" s="1">
        <f t="shared" si="14"/>
        <v>155</v>
      </c>
      <c r="W79" s="32">
        <f t="shared" si="1"/>
        <v>281.83333333333314</v>
      </c>
      <c r="X79" s="25">
        <f t="shared" si="2"/>
        <v>152.95833333333331</v>
      </c>
      <c r="Y79" s="32">
        <f t="shared" si="3"/>
        <v>2.0416666666666856</v>
      </c>
    </row>
    <row r="80" spans="2:25">
      <c r="M80" s="1">
        <f t="shared" si="11"/>
        <v>408</v>
      </c>
      <c r="N80" s="25">
        <f t="shared" si="4"/>
        <v>269.76</v>
      </c>
      <c r="O80" s="32">
        <f t="shared" si="5"/>
        <v>138.24</v>
      </c>
      <c r="P80" s="32">
        <f t="shared" si="6"/>
        <v>243.03999999999996</v>
      </c>
      <c r="R80" s="25">
        <f t="shared" si="13"/>
        <v>456.37333333333328</v>
      </c>
      <c r="S80" s="2">
        <f t="shared" si="12"/>
        <v>370</v>
      </c>
      <c r="V80" s="1">
        <f t="shared" si="14"/>
        <v>156</v>
      </c>
      <c r="W80" s="32">
        <f t="shared" si="1"/>
        <v>283.36</v>
      </c>
      <c r="X80" s="25">
        <f t="shared" si="2"/>
        <v>153.84</v>
      </c>
      <c r="Y80" s="32">
        <f t="shared" si="3"/>
        <v>2.1599999999999966</v>
      </c>
    </row>
    <row r="81" spans="13:25">
      <c r="M81" s="1">
        <f t="shared" si="11"/>
        <v>409</v>
      </c>
      <c r="N81" s="25">
        <f t="shared" si="4"/>
        <v>269.79833333333335</v>
      </c>
      <c r="O81" s="32">
        <f t="shared" si="5"/>
        <v>139.20166666666665</v>
      </c>
      <c r="P81" s="32">
        <f t="shared" si="6"/>
        <v>241.19333333333338</v>
      </c>
      <c r="R81" s="25">
        <f t="shared" si="13"/>
        <v>454.5266666666667</v>
      </c>
      <c r="S81" s="2">
        <f t="shared" si="12"/>
        <v>370</v>
      </c>
      <c r="V81" s="1">
        <f t="shared" si="14"/>
        <v>157</v>
      </c>
      <c r="W81" s="32">
        <f t="shared" si="1"/>
        <v>284.87333333333333</v>
      </c>
      <c r="X81" s="25">
        <f t="shared" si="2"/>
        <v>154.71833333333333</v>
      </c>
      <c r="Y81" s="32">
        <f t="shared" si="3"/>
        <v>2.2816666666666663</v>
      </c>
    </row>
    <row r="82" spans="13:25">
      <c r="M82" s="1">
        <f t="shared" si="11"/>
        <v>410</v>
      </c>
      <c r="N82" s="25">
        <f t="shared" si="4"/>
        <v>269.83333333333337</v>
      </c>
      <c r="O82" s="32">
        <f t="shared" si="5"/>
        <v>140.16666666666663</v>
      </c>
      <c r="P82" s="32">
        <f t="shared" si="6"/>
        <v>239.33333333333371</v>
      </c>
      <c r="R82" s="25">
        <f t="shared" si="13"/>
        <v>452.66666666666703</v>
      </c>
      <c r="S82" s="2">
        <f t="shared" si="12"/>
        <v>370</v>
      </c>
      <c r="V82" s="1">
        <f t="shared" si="14"/>
        <v>158</v>
      </c>
      <c r="W82" s="32">
        <f t="shared" si="1"/>
        <v>286.37333333333333</v>
      </c>
      <c r="X82" s="25">
        <f t="shared" si="2"/>
        <v>155.59333333333333</v>
      </c>
      <c r="Y82" s="32">
        <f t="shared" si="3"/>
        <v>2.4066666666666663</v>
      </c>
    </row>
    <row r="83" spans="13:25">
      <c r="M83" s="1">
        <f>M82+1</f>
        <v>411</v>
      </c>
      <c r="N83" s="25">
        <f t="shared" si="4"/>
        <v>269.86500000000001</v>
      </c>
      <c r="O83" s="32">
        <f t="shared" si="5"/>
        <v>141.13499999999999</v>
      </c>
      <c r="P83" s="32">
        <f t="shared" si="6"/>
        <v>237.46000000000004</v>
      </c>
      <c r="R83" s="25">
        <f t="shared" si="13"/>
        <v>450.79333333333335</v>
      </c>
      <c r="S83" s="2">
        <f t="shared" si="12"/>
        <v>370</v>
      </c>
      <c r="V83" s="1">
        <f t="shared" si="14"/>
        <v>159</v>
      </c>
      <c r="W83" s="32">
        <f t="shared" si="1"/>
        <v>287.86</v>
      </c>
      <c r="X83" s="25">
        <f t="shared" si="2"/>
        <v>156.465</v>
      </c>
      <c r="Y83" s="32">
        <f t="shared" si="3"/>
        <v>2.5349999999999966</v>
      </c>
    </row>
    <row r="84" spans="13:25">
      <c r="M84" s="1">
        <f t="shared" si="11"/>
        <v>412</v>
      </c>
      <c r="N84" s="25">
        <f t="shared" si="4"/>
        <v>269.89333333333337</v>
      </c>
      <c r="O84" s="32">
        <f t="shared" si="5"/>
        <v>142.10666666666663</v>
      </c>
      <c r="P84" s="32">
        <f t="shared" si="6"/>
        <v>235.57333333333349</v>
      </c>
      <c r="R84" s="25">
        <f t="shared" si="13"/>
        <v>448.90666666666681</v>
      </c>
      <c r="S84" s="2">
        <f t="shared" si="12"/>
        <v>370</v>
      </c>
      <c r="V84" s="1">
        <f t="shared" si="14"/>
        <v>160</v>
      </c>
      <c r="W84" s="32">
        <f t="shared" si="1"/>
        <v>289.33333333333314</v>
      </c>
      <c r="X84" s="25">
        <f t="shared" si="2"/>
        <v>157.33333333333331</v>
      </c>
      <c r="Y84" s="32">
        <f t="shared" si="3"/>
        <v>2.6666666666666856</v>
      </c>
    </row>
    <row r="85" spans="13:25">
      <c r="M85" s="1">
        <f t="shared" si="11"/>
        <v>413</v>
      </c>
      <c r="N85" s="25">
        <f t="shared" si="4"/>
        <v>269.91833333333335</v>
      </c>
      <c r="O85" s="32">
        <f t="shared" si="5"/>
        <v>143.08166666666665</v>
      </c>
      <c r="P85" s="32">
        <f t="shared" si="6"/>
        <v>233.6733333333334</v>
      </c>
      <c r="R85" s="25">
        <f t="shared" si="13"/>
        <v>447.00666666666672</v>
      </c>
      <c r="S85" s="2">
        <f t="shared" si="12"/>
        <v>370</v>
      </c>
      <c r="V85" s="1">
        <f t="shared" si="14"/>
        <v>161</v>
      </c>
      <c r="W85" s="32">
        <f t="shared" si="1"/>
        <v>290.79333333333318</v>
      </c>
      <c r="X85" s="25">
        <f t="shared" si="2"/>
        <v>158.19833333333332</v>
      </c>
      <c r="Y85" s="32">
        <f t="shared" si="3"/>
        <v>2.8016666666666765</v>
      </c>
    </row>
    <row r="86" spans="13:25">
      <c r="M86" s="1">
        <f t="shared" si="11"/>
        <v>414</v>
      </c>
      <c r="N86" s="25">
        <f t="shared" si="4"/>
        <v>269.94</v>
      </c>
      <c r="O86" s="32">
        <f t="shared" si="5"/>
        <v>144.06</v>
      </c>
      <c r="P86" s="32">
        <f t="shared" si="6"/>
        <v>231.76</v>
      </c>
      <c r="R86" s="25">
        <f t="shared" si="13"/>
        <v>445.09333333333331</v>
      </c>
      <c r="S86" s="2">
        <f t="shared" si="12"/>
        <v>370</v>
      </c>
      <c r="V86" s="1">
        <f t="shared" si="14"/>
        <v>162</v>
      </c>
      <c r="W86" s="32">
        <f t="shared" si="1"/>
        <v>292.2399999999999</v>
      </c>
      <c r="X86" s="25">
        <f t="shared" si="2"/>
        <v>159.06</v>
      </c>
      <c r="Y86" s="32">
        <f t="shared" si="3"/>
        <v>2.9399999999999977</v>
      </c>
    </row>
    <row r="87" spans="13:25">
      <c r="M87" s="1">
        <f t="shared" si="11"/>
        <v>415</v>
      </c>
      <c r="N87" s="25">
        <f t="shared" si="4"/>
        <v>269.95833333333337</v>
      </c>
      <c r="O87" s="32">
        <f t="shared" si="5"/>
        <v>145.04166666666663</v>
      </c>
      <c r="P87" s="32">
        <f t="shared" si="6"/>
        <v>229.83333333333371</v>
      </c>
      <c r="R87" s="25">
        <f t="shared" si="13"/>
        <v>443.16666666666703</v>
      </c>
      <c r="S87" s="2">
        <f t="shared" si="12"/>
        <v>370</v>
      </c>
      <c r="V87" s="1">
        <f t="shared" si="14"/>
        <v>163</v>
      </c>
      <c r="W87" s="32">
        <f t="shared" si="1"/>
        <v>293.67333333333329</v>
      </c>
      <c r="X87" s="25">
        <f t="shared" si="2"/>
        <v>159.91833333333332</v>
      </c>
      <c r="Y87" s="32">
        <f t="shared" si="3"/>
        <v>3.0816666666666777</v>
      </c>
    </row>
    <row r="88" spans="13:25">
      <c r="M88" s="1">
        <f t="shared" si="11"/>
        <v>416</v>
      </c>
      <c r="N88" s="25">
        <f t="shared" si="4"/>
        <v>269.97333333333336</v>
      </c>
      <c r="O88" s="32">
        <f t="shared" si="5"/>
        <v>146.02666666666664</v>
      </c>
      <c r="P88" s="32">
        <f t="shared" si="6"/>
        <v>227.89333333333343</v>
      </c>
      <c r="R88" s="25">
        <f t="shared" si="13"/>
        <v>441.22666666666674</v>
      </c>
      <c r="S88" s="2">
        <f t="shared" si="12"/>
        <v>370</v>
      </c>
      <c r="V88" s="1">
        <f t="shared" si="14"/>
        <v>164</v>
      </c>
      <c r="W88" s="32">
        <f t="shared" si="1"/>
        <v>295.09333333333325</v>
      </c>
      <c r="X88" s="25">
        <f t="shared" si="2"/>
        <v>160.77333333333331</v>
      </c>
      <c r="Y88" s="32">
        <f t="shared" si="3"/>
        <v>3.2266666666666879</v>
      </c>
    </row>
    <row r="89" spans="13:25">
      <c r="M89" s="1">
        <f>M88+1</f>
        <v>417</v>
      </c>
      <c r="N89" s="25">
        <f t="shared" si="4"/>
        <v>269.98500000000001</v>
      </c>
      <c r="O89" s="32">
        <f t="shared" si="5"/>
        <v>147.01499999999999</v>
      </c>
      <c r="P89" s="32">
        <f t="shared" si="6"/>
        <v>225.94000000000028</v>
      </c>
      <c r="R89" s="25">
        <f t="shared" si="13"/>
        <v>439.2733333333336</v>
      </c>
      <c r="S89" s="2">
        <f t="shared" si="12"/>
        <v>370</v>
      </c>
      <c r="V89" s="1">
        <f t="shared" si="14"/>
        <v>165</v>
      </c>
      <c r="W89" s="32">
        <f t="shared" si="1"/>
        <v>296.5</v>
      </c>
      <c r="X89" s="25">
        <f t="shared" si="2"/>
        <v>161.625</v>
      </c>
      <c r="Y89" s="32">
        <f t="shared" si="3"/>
        <v>3.375</v>
      </c>
    </row>
    <row r="90" spans="13:25">
      <c r="M90" s="1">
        <f t="shared" si="11"/>
        <v>418</v>
      </c>
      <c r="N90" s="25">
        <f t="shared" si="4"/>
        <v>269.99333333333334</v>
      </c>
      <c r="O90" s="32">
        <f t="shared" si="5"/>
        <v>148.00666666666666</v>
      </c>
      <c r="P90" s="32">
        <f t="shared" si="6"/>
        <v>223.97333333333336</v>
      </c>
      <c r="R90" s="25">
        <f t="shared" si="13"/>
        <v>437.30666666666667</v>
      </c>
      <c r="S90" s="2">
        <f t="shared" si="12"/>
        <v>370</v>
      </c>
      <c r="V90" s="1">
        <f t="shared" si="14"/>
        <v>166</v>
      </c>
      <c r="W90" s="32">
        <f t="shared" si="1"/>
        <v>297.89333333333332</v>
      </c>
      <c r="X90" s="25">
        <f t="shared" si="2"/>
        <v>162.47333333333333</v>
      </c>
      <c r="Y90" s="32">
        <f t="shared" si="3"/>
        <v>3.5266666666666708</v>
      </c>
    </row>
    <row r="91" spans="13:25">
      <c r="M91" s="1">
        <f>M90+1</f>
        <v>419</v>
      </c>
      <c r="N91" s="25">
        <f t="shared" si="4"/>
        <v>269.99833333333333</v>
      </c>
      <c r="O91" s="32">
        <f t="shared" si="5"/>
        <v>149.00166666666667</v>
      </c>
      <c r="P91" s="32">
        <f t="shared" si="6"/>
        <v>221.99333333333357</v>
      </c>
      <c r="R91" s="25">
        <f t="shared" si="13"/>
        <v>435.32666666666688</v>
      </c>
      <c r="S91" s="2">
        <f t="shared" si="12"/>
        <v>370</v>
      </c>
      <c r="V91" s="1">
        <f t="shared" si="14"/>
        <v>167</v>
      </c>
      <c r="W91" s="32">
        <f t="shared" si="1"/>
        <v>299.27333333333343</v>
      </c>
      <c r="X91" s="25">
        <f t="shared" si="2"/>
        <v>163.31833333333333</v>
      </c>
      <c r="Y91" s="32">
        <f t="shared" si="3"/>
        <v>3.681666666666672</v>
      </c>
    </row>
    <row r="92" spans="13:25">
      <c r="M92" s="66">
        <f t="shared" si="11"/>
        <v>420</v>
      </c>
      <c r="N92" s="25">
        <f t="shared" si="4"/>
        <v>270</v>
      </c>
      <c r="O92" s="32">
        <f t="shared" si="5"/>
        <v>150</v>
      </c>
      <c r="P92" s="32">
        <f t="shared" si="6"/>
        <v>220</v>
      </c>
      <c r="R92" s="25">
        <f>(M92^2-120^2)/(2*300)*5+(M92-(M92^2-120^2)/(2*300))*3*0.5-M92*3-(M92-(M92^2-120^2)/(2*300))*0.5+40000*(1-(400-120)/(420-120))*0.05+M92*(1-(M92-120)/(420-120))*2-20+40000*$T$32*0.03</f>
        <v>433.33333333333331</v>
      </c>
      <c r="S92" s="2">
        <f t="shared" si="12"/>
        <v>370</v>
      </c>
      <c r="V92" s="1">
        <f t="shared" si="14"/>
        <v>168</v>
      </c>
      <c r="W92" s="32">
        <f t="shared" si="1"/>
        <v>300.64</v>
      </c>
      <c r="X92" s="25">
        <f t="shared" si="2"/>
        <v>164.16</v>
      </c>
      <c r="Y92" s="32">
        <f t="shared" si="3"/>
        <v>3.8400000000000034</v>
      </c>
    </row>
    <row r="93" spans="13:25">
      <c r="V93" s="1">
        <f t="shared" si="14"/>
        <v>169</v>
      </c>
      <c r="W93" s="32">
        <f t="shared" si="1"/>
        <v>301.99333333333334</v>
      </c>
      <c r="X93" s="25">
        <f t="shared" si="2"/>
        <v>164.99833333333333</v>
      </c>
      <c r="Y93" s="32">
        <f t="shared" si="3"/>
        <v>4.0016666666666652</v>
      </c>
    </row>
    <row r="94" spans="13:25">
      <c r="V94" s="1">
        <f t="shared" si="14"/>
        <v>170</v>
      </c>
      <c r="W94" s="32">
        <f t="shared" si="1"/>
        <v>303.33333333333314</v>
      </c>
      <c r="X94" s="25">
        <f t="shared" si="2"/>
        <v>165.83333333333331</v>
      </c>
      <c r="Y94" s="32">
        <f t="shared" si="3"/>
        <v>4.1666666666666856</v>
      </c>
    </row>
    <row r="95" spans="13:25">
      <c r="V95" s="1">
        <f t="shared" si="14"/>
        <v>171</v>
      </c>
      <c r="W95" s="32">
        <f t="shared" si="1"/>
        <v>304.65999999999997</v>
      </c>
      <c r="X95" s="25">
        <f t="shared" si="2"/>
        <v>166.66500000000002</v>
      </c>
      <c r="Y95" s="32">
        <f t="shared" si="3"/>
        <v>4.3349999999999795</v>
      </c>
    </row>
    <row r="96" spans="13:25">
      <c r="V96" s="1">
        <f t="shared" si="14"/>
        <v>172</v>
      </c>
      <c r="W96" s="32">
        <f t="shared" si="1"/>
        <v>305.97333333333336</v>
      </c>
      <c r="X96" s="25">
        <f t="shared" si="2"/>
        <v>167.49333333333334</v>
      </c>
      <c r="Y96" s="32">
        <f t="shared" si="3"/>
        <v>4.5066666666666606</v>
      </c>
    </row>
    <row r="97" spans="22:25">
      <c r="V97" s="1">
        <f t="shared" si="14"/>
        <v>173</v>
      </c>
      <c r="W97" s="32">
        <f t="shared" si="1"/>
        <v>307.27333333333343</v>
      </c>
      <c r="X97" s="25">
        <f t="shared" si="2"/>
        <v>168.31833333333333</v>
      </c>
      <c r="Y97" s="32">
        <f t="shared" si="3"/>
        <v>4.681666666666672</v>
      </c>
    </row>
    <row r="98" spans="22:25">
      <c r="V98" s="1">
        <f t="shared" si="14"/>
        <v>174</v>
      </c>
      <c r="W98" s="32">
        <f t="shared" si="1"/>
        <v>308.56000000000006</v>
      </c>
      <c r="X98" s="25">
        <f t="shared" si="2"/>
        <v>169.14000000000001</v>
      </c>
      <c r="Y98" s="32">
        <f t="shared" si="3"/>
        <v>4.8599999999999852</v>
      </c>
    </row>
    <row r="99" spans="22:25">
      <c r="V99" s="1">
        <f t="shared" si="14"/>
        <v>175</v>
      </c>
      <c r="W99" s="32">
        <f t="shared" si="1"/>
        <v>309.83333333333314</v>
      </c>
      <c r="X99" s="25">
        <f t="shared" si="2"/>
        <v>169.95833333333331</v>
      </c>
      <c r="Y99" s="32">
        <f t="shared" si="3"/>
        <v>5.0416666666666856</v>
      </c>
    </row>
    <row r="100" spans="22:25">
      <c r="V100" s="1">
        <f t="shared" si="14"/>
        <v>176</v>
      </c>
      <c r="W100" s="32">
        <f t="shared" si="1"/>
        <v>311.09333333333336</v>
      </c>
      <c r="X100" s="25">
        <f t="shared" si="2"/>
        <v>170.77333333333334</v>
      </c>
      <c r="Y100" s="32">
        <f t="shared" si="3"/>
        <v>5.2266666666666595</v>
      </c>
    </row>
    <row r="101" spans="22:25">
      <c r="V101" s="1">
        <f t="shared" si="14"/>
        <v>177</v>
      </c>
      <c r="W101" s="32">
        <f t="shared" si="1"/>
        <v>312.34000000000003</v>
      </c>
      <c r="X101" s="25">
        <f t="shared" si="2"/>
        <v>171.58500000000001</v>
      </c>
      <c r="Y101" s="32">
        <f t="shared" si="3"/>
        <v>5.414999999999992</v>
      </c>
    </row>
    <row r="102" spans="22:25">
      <c r="V102" s="1">
        <f t="shared" si="14"/>
        <v>178</v>
      </c>
      <c r="W102" s="32">
        <f t="shared" si="1"/>
        <v>313.57333333333338</v>
      </c>
      <c r="X102" s="25">
        <f t="shared" si="2"/>
        <v>172.39333333333335</v>
      </c>
      <c r="Y102" s="32">
        <f t="shared" si="3"/>
        <v>5.6066666666666549</v>
      </c>
    </row>
    <row r="103" spans="22:25">
      <c r="V103" s="1">
        <f t="shared" si="14"/>
        <v>179</v>
      </c>
      <c r="W103" s="32">
        <f t="shared" si="1"/>
        <v>314.79333333333318</v>
      </c>
      <c r="X103" s="25">
        <f t="shared" si="2"/>
        <v>173.19833333333332</v>
      </c>
      <c r="Y103" s="32">
        <f t="shared" si="3"/>
        <v>5.8016666666666765</v>
      </c>
    </row>
    <row r="104" spans="22:25">
      <c r="V104" s="1">
        <f t="shared" si="14"/>
        <v>180</v>
      </c>
      <c r="W104" s="32">
        <f t="shared" si="1"/>
        <v>316</v>
      </c>
      <c r="X104" s="25">
        <f t="shared" si="2"/>
        <v>174</v>
      </c>
      <c r="Y104" s="32">
        <f t="shared" si="3"/>
        <v>6</v>
      </c>
    </row>
    <row r="105" spans="22:25">
      <c r="V105" s="1">
        <f t="shared" si="14"/>
        <v>181</v>
      </c>
      <c r="W105" s="32">
        <f t="shared" si="1"/>
        <v>317.19333333333327</v>
      </c>
      <c r="X105" s="25">
        <f t="shared" si="2"/>
        <v>174.79833333333332</v>
      </c>
      <c r="Y105" s="32">
        <f t="shared" si="3"/>
        <v>6.2016666666666822</v>
      </c>
    </row>
    <row r="106" spans="22:25">
      <c r="V106" s="1">
        <f t="shared" si="14"/>
        <v>182</v>
      </c>
      <c r="W106" s="32">
        <f t="shared" si="1"/>
        <v>318.37333333333333</v>
      </c>
      <c r="X106" s="25">
        <f t="shared" si="2"/>
        <v>175.59333333333333</v>
      </c>
      <c r="Y106" s="32">
        <f t="shared" si="3"/>
        <v>6.4066666666666663</v>
      </c>
    </row>
    <row r="107" spans="22:25">
      <c r="V107" s="1">
        <f t="shared" si="14"/>
        <v>183</v>
      </c>
      <c r="W107" s="32">
        <f t="shared" si="1"/>
        <v>319.53999999999996</v>
      </c>
      <c r="X107" s="25">
        <f t="shared" si="2"/>
        <v>176.38499999999999</v>
      </c>
      <c r="Y107" s="32">
        <f t="shared" si="3"/>
        <v>6.6150000000000091</v>
      </c>
    </row>
    <row r="108" spans="22:25">
      <c r="V108" s="1">
        <f t="shared" si="14"/>
        <v>184</v>
      </c>
      <c r="W108" s="32">
        <f t="shared" ref="W108:W171" si="15">X108*5+Y108*0.5*3-Y108*0.5-V108*3-20</f>
        <v>320.6933333333335</v>
      </c>
      <c r="X108" s="25">
        <f t="shared" ref="X108:X171" si="16">(V108^2-120^2)/(2*300)+V108*(420-V108)/300</f>
        <v>177.17333333333335</v>
      </c>
      <c r="Y108" s="32">
        <f t="shared" ref="Y108:Y171" si="17">V108-X108</f>
        <v>6.8266666666666538</v>
      </c>
    </row>
    <row r="109" spans="22:25">
      <c r="V109" s="1">
        <f t="shared" si="14"/>
        <v>185</v>
      </c>
      <c r="W109" s="32">
        <f t="shared" si="15"/>
        <v>321.83333333333314</v>
      </c>
      <c r="X109" s="25">
        <f t="shared" si="16"/>
        <v>177.95833333333331</v>
      </c>
      <c r="Y109" s="32">
        <f t="shared" si="17"/>
        <v>7.0416666666666856</v>
      </c>
    </row>
    <row r="110" spans="22:25">
      <c r="V110" s="1">
        <f t="shared" si="14"/>
        <v>186</v>
      </c>
      <c r="W110" s="32">
        <f t="shared" si="15"/>
        <v>322.96000000000004</v>
      </c>
      <c r="X110" s="25">
        <f t="shared" si="16"/>
        <v>178.74</v>
      </c>
      <c r="Y110" s="32">
        <f t="shared" si="17"/>
        <v>7.2599999999999909</v>
      </c>
    </row>
    <row r="111" spans="22:25">
      <c r="V111" s="1">
        <f t="shared" si="14"/>
        <v>187</v>
      </c>
      <c r="W111" s="32">
        <f t="shared" si="15"/>
        <v>324.07333333333338</v>
      </c>
      <c r="X111" s="25">
        <f t="shared" si="16"/>
        <v>179.51833333333335</v>
      </c>
      <c r="Y111" s="32">
        <f t="shared" si="17"/>
        <v>7.4816666666666549</v>
      </c>
    </row>
    <row r="112" spans="22:25">
      <c r="V112" s="1">
        <f t="shared" si="14"/>
        <v>188</v>
      </c>
      <c r="W112" s="32">
        <f t="shared" si="15"/>
        <v>325.17333333333329</v>
      </c>
      <c r="X112" s="25">
        <f t="shared" si="16"/>
        <v>180.29333333333332</v>
      </c>
      <c r="Y112" s="32">
        <f t="shared" si="17"/>
        <v>7.7066666666666777</v>
      </c>
    </row>
    <row r="113" spans="22:25">
      <c r="V113" s="1">
        <f t="shared" si="14"/>
        <v>189</v>
      </c>
      <c r="W113" s="32">
        <f t="shared" si="15"/>
        <v>326.2600000000001</v>
      </c>
      <c r="X113" s="25">
        <f t="shared" si="16"/>
        <v>181.065</v>
      </c>
      <c r="Y113" s="32">
        <f t="shared" si="17"/>
        <v>7.9350000000000023</v>
      </c>
    </row>
    <row r="114" spans="22:25">
      <c r="V114" s="1">
        <f t="shared" si="14"/>
        <v>190</v>
      </c>
      <c r="W114" s="32">
        <f t="shared" si="15"/>
        <v>327.33333333333314</v>
      </c>
      <c r="X114" s="25">
        <f t="shared" si="16"/>
        <v>181.83333333333331</v>
      </c>
      <c r="Y114" s="32">
        <f t="shared" si="17"/>
        <v>8.1666666666666856</v>
      </c>
    </row>
    <row r="115" spans="22:25">
      <c r="V115" s="1">
        <f t="shared" si="14"/>
        <v>191</v>
      </c>
      <c r="W115" s="32">
        <f t="shared" si="15"/>
        <v>328.39333333333332</v>
      </c>
      <c r="X115" s="25">
        <f t="shared" si="16"/>
        <v>182.59833333333333</v>
      </c>
      <c r="Y115" s="32">
        <f t="shared" si="17"/>
        <v>8.4016666666666708</v>
      </c>
    </row>
    <row r="116" spans="22:25">
      <c r="V116" s="1">
        <f t="shared" si="14"/>
        <v>192</v>
      </c>
      <c r="W116" s="32">
        <f t="shared" si="15"/>
        <v>329.43999999999994</v>
      </c>
      <c r="X116" s="25">
        <f t="shared" si="16"/>
        <v>183.35999999999999</v>
      </c>
      <c r="Y116" s="32">
        <f t="shared" si="17"/>
        <v>8.6400000000000148</v>
      </c>
    </row>
    <row r="117" spans="22:25">
      <c r="V117" s="1">
        <f t="shared" si="14"/>
        <v>193</v>
      </c>
      <c r="W117" s="32">
        <f t="shared" si="15"/>
        <v>330.47333333333336</v>
      </c>
      <c r="X117" s="25">
        <f t="shared" si="16"/>
        <v>184.11833333333334</v>
      </c>
      <c r="Y117" s="32">
        <f t="shared" si="17"/>
        <v>8.8816666666666606</v>
      </c>
    </row>
    <row r="118" spans="22:25">
      <c r="V118" s="1">
        <f t="shared" si="14"/>
        <v>194</v>
      </c>
      <c r="W118" s="32">
        <f t="shared" si="15"/>
        <v>331.49333333333334</v>
      </c>
      <c r="X118" s="25">
        <f t="shared" si="16"/>
        <v>184.87333333333333</v>
      </c>
      <c r="Y118" s="32">
        <f t="shared" si="17"/>
        <v>9.1266666666666652</v>
      </c>
    </row>
    <row r="119" spans="22:25">
      <c r="V119" s="1">
        <f t="shared" si="14"/>
        <v>195</v>
      </c>
      <c r="W119" s="32">
        <f t="shared" si="15"/>
        <v>332.5</v>
      </c>
      <c r="X119" s="25">
        <f t="shared" si="16"/>
        <v>185.625</v>
      </c>
      <c r="Y119" s="32">
        <f t="shared" si="17"/>
        <v>9.375</v>
      </c>
    </row>
    <row r="120" spans="22:25">
      <c r="V120" s="1">
        <f t="shared" si="14"/>
        <v>196</v>
      </c>
      <c r="W120" s="32">
        <f t="shared" si="15"/>
        <v>333.49333333333334</v>
      </c>
      <c r="X120" s="25">
        <f t="shared" si="16"/>
        <v>186.37333333333333</v>
      </c>
      <c r="Y120" s="32">
        <f t="shared" si="17"/>
        <v>9.6266666666666652</v>
      </c>
    </row>
    <row r="121" spans="22:25">
      <c r="V121" s="1">
        <f t="shared" si="14"/>
        <v>197</v>
      </c>
      <c r="W121" s="32">
        <f t="shared" si="15"/>
        <v>334.47333333333336</v>
      </c>
      <c r="X121" s="25">
        <f t="shared" si="16"/>
        <v>187.11833333333334</v>
      </c>
      <c r="Y121" s="32">
        <f t="shared" si="17"/>
        <v>9.8816666666666606</v>
      </c>
    </row>
    <row r="122" spans="22:25">
      <c r="V122" s="1">
        <f t="shared" si="14"/>
        <v>198</v>
      </c>
      <c r="W122" s="32">
        <f t="shared" si="15"/>
        <v>335.44000000000005</v>
      </c>
      <c r="X122" s="25">
        <f t="shared" si="16"/>
        <v>187.86</v>
      </c>
      <c r="Y122" s="32">
        <f t="shared" si="17"/>
        <v>10.139999999999986</v>
      </c>
    </row>
    <row r="123" spans="22:25">
      <c r="V123" s="1">
        <f t="shared" si="14"/>
        <v>199</v>
      </c>
      <c r="W123" s="32">
        <f t="shared" si="15"/>
        <v>336.39333333333332</v>
      </c>
      <c r="X123" s="25">
        <f t="shared" si="16"/>
        <v>188.59833333333333</v>
      </c>
      <c r="Y123" s="32">
        <f t="shared" si="17"/>
        <v>10.401666666666671</v>
      </c>
    </row>
    <row r="124" spans="22:25">
      <c r="V124" s="1">
        <f t="shared" si="14"/>
        <v>200</v>
      </c>
      <c r="W124" s="32">
        <f t="shared" si="15"/>
        <v>337.33333333333314</v>
      </c>
      <c r="X124" s="25">
        <f t="shared" si="16"/>
        <v>189.33333333333331</v>
      </c>
      <c r="Y124" s="32">
        <f t="shared" si="17"/>
        <v>10.666666666666686</v>
      </c>
    </row>
    <row r="125" spans="22:25">
      <c r="V125" s="1">
        <f t="shared" si="14"/>
        <v>201</v>
      </c>
      <c r="W125" s="32">
        <f t="shared" si="15"/>
        <v>338.2600000000001</v>
      </c>
      <c r="X125" s="25">
        <f t="shared" si="16"/>
        <v>190.065</v>
      </c>
      <c r="Y125" s="32">
        <f t="shared" si="17"/>
        <v>10.935000000000002</v>
      </c>
    </row>
    <row r="126" spans="22:25">
      <c r="V126" s="1">
        <f t="shared" si="14"/>
        <v>202</v>
      </c>
      <c r="W126" s="32">
        <f t="shared" si="15"/>
        <v>339.17333333333329</v>
      </c>
      <c r="X126" s="25">
        <f t="shared" si="16"/>
        <v>190.79333333333332</v>
      </c>
      <c r="Y126" s="32">
        <f t="shared" si="17"/>
        <v>11.206666666666678</v>
      </c>
    </row>
    <row r="127" spans="22:25">
      <c r="V127" s="1">
        <f t="shared" si="14"/>
        <v>203</v>
      </c>
      <c r="W127" s="32">
        <f t="shared" si="15"/>
        <v>340.07333333333338</v>
      </c>
      <c r="X127" s="25">
        <f t="shared" si="16"/>
        <v>191.51833333333335</v>
      </c>
      <c r="Y127" s="32">
        <f t="shared" si="17"/>
        <v>11.481666666666655</v>
      </c>
    </row>
    <row r="128" spans="22:25">
      <c r="V128" s="1">
        <f t="shared" si="14"/>
        <v>204</v>
      </c>
      <c r="W128" s="32">
        <f t="shared" si="15"/>
        <v>340.96000000000004</v>
      </c>
      <c r="X128" s="25">
        <f t="shared" si="16"/>
        <v>192.24</v>
      </c>
      <c r="Y128" s="32">
        <f t="shared" si="17"/>
        <v>11.759999999999991</v>
      </c>
    </row>
    <row r="129" spans="22:25">
      <c r="V129" s="1">
        <f t="shared" si="14"/>
        <v>205</v>
      </c>
      <c r="W129" s="32">
        <f t="shared" si="15"/>
        <v>341.83333333333314</v>
      </c>
      <c r="X129" s="25">
        <f t="shared" si="16"/>
        <v>192.95833333333331</v>
      </c>
      <c r="Y129" s="32">
        <f t="shared" si="17"/>
        <v>12.041666666666686</v>
      </c>
    </row>
    <row r="130" spans="22:25">
      <c r="V130" s="1">
        <f t="shared" si="14"/>
        <v>206</v>
      </c>
      <c r="W130" s="32">
        <f t="shared" si="15"/>
        <v>342.69333333333327</v>
      </c>
      <c r="X130" s="25">
        <f t="shared" si="16"/>
        <v>193.67333333333332</v>
      </c>
      <c r="Y130" s="32">
        <f t="shared" si="17"/>
        <v>12.326666666666682</v>
      </c>
    </row>
    <row r="131" spans="22:25">
      <c r="V131" s="1">
        <f t="shared" si="14"/>
        <v>207</v>
      </c>
      <c r="W131" s="32">
        <f t="shared" si="15"/>
        <v>343.53999999999996</v>
      </c>
      <c r="X131" s="25">
        <f t="shared" si="16"/>
        <v>194.38499999999999</v>
      </c>
      <c r="Y131" s="32">
        <f t="shared" si="17"/>
        <v>12.615000000000009</v>
      </c>
    </row>
    <row r="132" spans="22:25">
      <c r="V132" s="1">
        <f t="shared" si="14"/>
        <v>208</v>
      </c>
      <c r="W132" s="32">
        <f t="shared" si="15"/>
        <v>344.37333333333345</v>
      </c>
      <c r="X132" s="25">
        <f t="shared" si="16"/>
        <v>195.09333333333336</v>
      </c>
      <c r="Y132" s="32">
        <f t="shared" si="17"/>
        <v>12.906666666666638</v>
      </c>
    </row>
    <row r="133" spans="22:25">
      <c r="V133" s="1">
        <f t="shared" si="14"/>
        <v>209</v>
      </c>
      <c r="W133" s="32">
        <f t="shared" si="15"/>
        <v>345.1933333333335</v>
      </c>
      <c r="X133" s="25">
        <f t="shared" si="16"/>
        <v>195.79833333333335</v>
      </c>
      <c r="Y133" s="32">
        <f t="shared" si="17"/>
        <v>13.201666666666654</v>
      </c>
    </row>
    <row r="134" spans="22:25">
      <c r="V134" s="1">
        <f t="shared" si="14"/>
        <v>210</v>
      </c>
      <c r="W134" s="32">
        <f t="shared" si="15"/>
        <v>346</v>
      </c>
      <c r="X134" s="25">
        <f t="shared" si="16"/>
        <v>196.5</v>
      </c>
      <c r="Y134" s="32">
        <f t="shared" si="17"/>
        <v>13.5</v>
      </c>
    </row>
    <row r="135" spans="22:25">
      <c r="V135" s="1">
        <f t="shared" si="14"/>
        <v>211</v>
      </c>
      <c r="W135" s="32">
        <f t="shared" si="15"/>
        <v>346.79333333333318</v>
      </c>
      <c r="X135" s="25">
        <f t="shared" si="16"/>
        <v>197.19833333333332</v>
      </c>
      <c r="Y135" s="32">
        <f t="shared" si="17"/>
        <v>13.801666666666677</v>
      </c>
    </row>
    <row r="136" spans="22:25">
      <c r="V136" s="1">
        <f t="shared" si="14"/>
        <v>212</v>
      </c>
      <c r="W136" s="32">
        <f t="shared" si="15"/>
        <v>347.57333333333338</v>
      </c>
      <c r="X136" s="25">
        <f t="shared" si="16"/>
        <v>197.89333333333335</v>
      </c>
      <c r="Y136" s="32">
        <f t="shared" si="17"/>
        <v>14.106666666666655</v>
      </c>
    </row>
    <row r="137" spans="22:25">
      <c r="V137" s="1">
        <f t="shared" si="14"/>
        <v>213</v>
      </c>
      <c r="W137" s="32">
        <f t="shared" si="15"/>
        <v>348.34000000000003</v>
      </c>
      <c r="X137" s="25">
        <f t="shared" si="16"/>
        <v>198.58500000000001</v>
      </c>
      <c r="Y137" s="32">
        <f t="shared" si="17"/>
        <v>14.414999999999992</v>
      </c>
    </row>
    <row r="138" spans="22:25">
      <c r="V138" s="1">
        <f t="shared" si="14"/>
        <v>214</v>
      </c>
      <c r="W138" s="32">
        <f t="shared" si="15"/>
        <v>349.09333333333325</v>
      </c>
      <c r="X138" s="25">
        <f t="shared" si="16"/>
        <v>199.27333333333331</v>
      </c>
      <c r="Y138" s="32">
        <f t="shared" si="17"/>
        <v>14.726666666666688</v>
      </c>
    </row>
    <row r="139" spans="22:25">
      <c r="V139" s="1">
        <f t="shared" si="14"/>
        <v>215</v>
      </c>
      <c r="W139" s="32">
        <f t="shared" si="15"/>
        <v>349.83333333333314</v>
      </c>
      <c r="X139" s="25">
        <f t="shared" si="16"/>
        <v>199.95833333333331</v>
      </c>
      <c r="Y139" s="32">
        <f t="shared" si="17"/>
        <v>15.041666666666686</v>
      </c>
    </row>
    <row r="140" spans="22:25">
      <c r="V140" s="1">
        <f t="shared" ref="V140:V203" si="18">V139+1</f>
        <v>216</v>
      </c>
      <c r="W140" s="32">
        <f t="shared" si="15"/>
        <v>350.55999999999995</v>
      </c>
      <c r="X140" s="25">
        <f t="shared" si="16"/>
        <v>200.64</v>
      </c>
      <c r="Y140" s="32">
        <f t="shared" si="17"/>
        <v>15.360000000000014</v>
      </c>
    </row>
    <row r="141" spans="22:25">
      <c r="V141" s="1">
        <f t="shared" si="18"/>
        <v>217</v>
      </c>
      <c r="W141" s="32">
        <f t="shared" si="15"/>
        <v>351.27333333333343</v>
      </c>
      <c r="X141" s="25">
        <f t="shared" si="16"/>
        <v>201.31833333333333</v>
      </c>
      <c r="Y141" s="32">
        <f t="shared" si="17"/>
        <v>15.681666666666672</v>
      </c>
    </row>
    <row r="142" spans="22:25">
      <c r="V142" s="1">
        <f t="shared" si="18"/>
        <v>218</v>
      </c>
      <c r="W142" s="32">
        <f t="shared" si="15"/>
        <v>351.97333333333336</v>
      </c>
      <c r="X142" s="25">
        <f t="shared" si="16"/>
        <v>201.99333333333334</v>
      </c>
      <c r="Y142" s="32">
        <f t="shared" si="17"/>
        <v>16.006666666666661</v>
      </c>
    </row>
    <row r="143" spans="22:25">
      <c r="V143" s="1">
        <f t="shared" si="18"/>
        <v>219</v>
      </c>
      <c r="W143" s="32">
        <f t="shared" si="15"/>
        <v>352.65999999999985</v>
      </c>
      <c r="X143" s="25">
        <f t="shared" si="16"/>
        <v>202.66499999999999</v>
      </c>
      <c r="Y143" s="32">
        <f t="shared" si="17"/>
        <v>16.335000000000008</v>
      </c>
    </row>
    <row r="144" spans="22:25">
      <c r="V144" s="1">
        <f t="shared" si="18"/>
        <v>220</v>
      </c>
      <c r="W144" s="32">
        <f t="shared" si="15"/>
        <v>353.33333333333326</v>
      </c>
      <c r="X144" s="25">
        <f t="shared" si="16"/>
        <v>203.33333333333331</v>
      </c>
      <c r="Y144" s="32">
        <f t="shared" si="17"/>
        <v>16.666666666666686</v>
      </c>
    </row>
    <row r="145" spans="22:25">
      <c r="V145" s="1">
        <f t="shared" si="18"/>
        <v>221</v>
      </c>
      <c r="W145" s="32">
        <f t="shared" si="15"/>
        <v>353.99333333333334</v>
      </c>
      <c r="X145" s="25">
        <f t="shared" si="16"/>
        <v>203.99833333333333</v>
      </c>
      <c r="Y145" s="32">
        <f t="shared" si="17"/>
        <v>17.001666666666665</v>
      </c>
    </row>
    <row r="146" spans="22:25">
      <c r="V146" s="1">
        <f t="shared" si="18"/>
        <v>222</v>
      </c>
      <c r="W146" s="32">
        <f t="shared" si="15"/>
        <v>354.6400000000001</v>
      </c>
      <c r="X146" s="25">
        <f t="shared" si="16"/>
        <v>204.66000000000003</v>
      </c>
      <c r="Y146" s="32">
        <f t="shared" si="17"/>
        <v>17.339999999999975</v>
      </c>
    </row>
    <row r="147" spans="22:25">
      <c r="V147" s="1">
        <f t="shared" si="18"/>
        <v>223</v>
      </c>
      <c r="W147" s="32">
        <f t="shared" si="15"/>
        <v>355.27333333333331</v>
      </c>
      <c r="X147" s="25">
        <f t="shared" si="16"/>
        <v>205.31833333333333</v>
      </c>
      <c r="Y147" s="32">
        <f t="shared" si="17"/>
        <v>17.681666666666672</v>
      </c>
    </row>
    <row r="148" spans="22:25">
      <c r="V148" s="1">
        <f t="shared" si="18"/>
        <v>224</v>
      </c>
      <c r="W148" s="32">
        <f t="shared" si="15"/>
        <v>355.8933333333332</v>
      </c>
      <c r="X148" s="25">
        <f t="shared" si="16"/>
        <v>205.97333333333333</v>
      </c>
      <c r="Y148" s="32">
        <f t="shared" si="17"/>
        <v>18.026666666666671</v>
      </c>
    </row>
    <row r="149" spans="22:25">
      <c r="V149" s="1">
        <f t="shared" si="18"/>
        <v>225</v>
      </c>
      <c r="W149" s="32">
        <f t="shared" si="15"/>
        <v>356.5</v>
      </c>
      <c r="X149" s="25">
        <f t="shared" si="16"/>
        <v>206.625</v>
      </c>
      <c r="Y149" s="32">
        <f t="shared" si="17"/>
        <v>18.375</v>
      </c>
    </row>
    <row r="150" spans="22:25">
      <c r="V150" s="1">
        <f t="shared" si="18"/>
        <v>226</v>
      </c>
      <c r="W150" s="32">
        <f t="shared" si="15"/>
        <v>357.09333333333348</v>
      </c>
      <c r="X150" s="25">
        <f t="shared" si="16"/>
        <v>207.27333333333334</v>
      </c>
      <c r="Y150" s="32">
        <f t="shared" si="17"/>
        <v>18.726666666666659</v>
      </c>
    </row>
    <row r="151" spans="22:25">
      <c r="V151" s="1">
        <f t="shared" si="18"/>
        <v>227</v>
      </c>
      <c r="W151" s="32">
        <f t="shared" si="15"/>
        <v>357.6733333333334</v>
      </c>
      <c r="X151" s="25">
        <f t="shared" si="16"/>
        <v>207.91833333333332</v>
      </c>
      <c r="Y151" s="32">
        <f t="shared" si="17"/>
        <v>19.081666666666678</v>
      </c>
    </row>
    <row r="152" spans="22:25">
      <c r="V152" s="1">
        <f t="shared" si="18"/>
        <v>228</v>
      </c>
      <c r="W152" s="32">
        <f t="shared" si="15"/>
        <v>358.24</v>
      </c>
      <c r="X152" s="25">
        <f t="shared" si="16"/>
        <v>208.56</v>
      </c>
      <c r="Y152" s="32">
        <f t="shared" si="17"/>
        <v>19.439999999999998</v>
      </c>
    </row>
    <row r="153" spans="22:25">
      <c r="V153" s="1">
        <f t="shared" si="18"/>
        <v>229</v>
      </c>
      <c r="W153" s="32">
        <f t="shared" si="15"/>
        <v>358.79333333333329</v>
      </c>
      <c r="X153" s="25">
        <f t="shared" si="16"/>
        <v>209.19833333333332</v>
      </c>
      <c r="Y153" s="32">
        <f t="shared" si="17"/>
        <v>19.801666666666677</v>
      </c>
    </row>
    <row r="154" spans="22:25">
      <c r="V154" s="1">
        <f t="shared" si="18"/>
        <v>230</v>
      </c>
      <c r="W154" s="32">
        <f t="shared" si="15"/>
        <v>359.33333333333326</v>
      </c>
      <c r="X154" s="25">
        <f t="shared" si="16"/>
        <v>209.83333333333331</v>
      </c>
      <c r="Y154" s="32">
        <f t="shared" si="17"/>
        <v>20.166666666666686</v>
      </c>
    </row>
    <row r="155" spans="22:25">
      <c r="V155" s="1">
        <f t="shared" si="18"/>
        <v>231</v>
      </c>
      <c r="W155" s="32">
        <f t="shared" si="15"/>
        <v>359.86000000000013</v>
      </c>
      <c r="X155" s="25">
        <f t="shared" si="16"/>
        <v>210.465</v>
      </c>
      <c r="Y155" s="32">
        <f t="shared" si="17"/>
        <v>20.534999999999997</v>
      </c>
    </row>
    <row r="156" spans="22:25">
      <c r="V156" s="1">
        <f t="shared" si="18"/>
        <v>232</v>
      </c>
      <c r="W156" s="32">
        <f t="shared" si="15"/>
        <v>360.37333333333322</v>
      </c>
      <c r="X156" s="25">
        <f t="shared" si="16"/>
        <v>211.09333333333331</v>
      </c>
      <c r="Y156" s="32">
        <f t="shared" si="17"/>
        <v>20.906666666666695</v>
      </c>
    </row>
    <row r="157" spans="22:25">
      <c r="V157" s="1">
        <f t="shared" si="18"/>
        <v>233</v>
      </c>
      <c r="W157" s="32">
        <f t="shared" si="15"/>
        <v>360.87333333333322</v>
      </c>
      <c r="X157" s="25">
        <f t="shared" si="16"/>
        <v>211.71833333333336</v>
      </c>
      <c r="Y157" s="32">
        <f t="shared" si="17"/>
        <v>21.281666666666638</v>
      </c>
    </row>
    <row r="158" spans="22:25">
      <c r="V158" s="1">
        <f t="shared" si="18"/>
        <v>234</v>
      </c>
      <c r="W158" s="32">
        <f t="shared" si="15"/>
        <v>361.36000000000035</v>
      </c>
      <c r="X158" s="25">
        <f t="shared" si="16"/>
        <v>212.34000000000003</v>
      </c>
      <c r="Y158" s="32">
        <f t="shared" si="17"/>
        <v>21.659999999999968</v>
      </c>
    </row>
    <row r="159" spans="22:25">
      <c r="V159" s="1">
        <f t="shared" si="18"/>
        <v>235</v>
      </c>
      <c r="W159" s="32">
        <f t="shared" si="15"/>
        <v>361.83333333333326</v>
      </c>
      <c r="X159" s="25">
        <f t="shared" si="16"/>
        <v>212.95833333333331</v>
      </c>
      <c r="Y159" s="32">
        <f t="shared" si="17"/>
        <v>22.041666666666686</v>
      </c>
    </row>
    <row r="160" spans="22:25">
      <c r="V160" s="1">
        <f t="shared" si="18"/>
        <v>236</v>
      </c>
      <c r="W160" s="32">
        <f t="shared" si="15"/>
        <v>362.29333333333329</v>
      </c>
      <c r="X160" s="25">
        <f t="shared" si="16"/>
        <v>213.57333333333332</v>
      </c>
      <c r="Y160" s="32">
        <f t="shared" si="17"/>
        <v>22.426666666666677</v>
      </c>
    </row>
    <row r="161" spans="22:25">
      <c r="V161" s="1">
        <f t="shared" si="18"/>
        <v>237</v>
      </c>
      <c r="W161" s="32">
        <f t="shared" si="15"/>
        <v>362.74</v>
      </c>
      <c r="X161" s="25">
        <f t="shared" si="16"/>
        <v>214.185</v>
      </c>
      <c r="Y161" s="32">
        <f t="shared" si="17"/>
        <v>22.814999999999998</v>
      </c>
    </row>
    <row r="162" spans="22:25">
      <c r="V162" s="1">
        <f t="shared" si="18"/>
        <v>238</v>
      </c>
      <c r="W162" s="32">
        <f t="shared" si="15"/>
        <v>363.1733333333334</v>
      </c>
      <c r="X162" s="25">
        <f t="shared" si="16"/>
        <v>214.79333333333332</v>
      </c>
      <c r="Y162" s="32">
        <f t="shared" si="17"/>
        <v>23.206666666666678</v>
      </c>
    </row>
    <row r="163" spans="22:25">
      <c r="V163" s="1">
        <f t="shared" si="18"/>
        <v>239</v>
      </c>
      <c r="W163" s="32">
        <f t="shared" si="15"/>
        <v>363.59333333333325</v>
      </c>
      <c r="X163" s="25">
        <f t="shared" si="16"/>
        <v>215.39833333333331</v>
      </c>
      <c r="Y163" s="32">
        <f t="shared" si="17"/>
        <v>23.601666666666688</v>
      </c>
    </row>
    <row r="164" spans="22:25">
      <c r="V164" s="1">
        <f t="shared" si="18"/>
        <v>240</v>
      </c>
      <c r="W164" s="32">
        <f t="shared" si="15"/>
        <v>364</v>
      </c>
      <c r="X164" s="25">
        <f t="shared" si="16"/>
        <v>216</v>
      </c>
      <c r="Y164" s="32">
        <f t="shared" si="17"/>
        <v>24</v>
      </c>
    </row>
    <row r="165" spans="22:25">
      <c r="V165" s="1">
        <f t="shared" si="18"/>
        <v>241</v>
      </c>
      <c r="W165" s="32">
        <f t="shared" si="15"/>
        <v>364.3933333333332</v>
      </c>
      <c r="X165" s="25">
        <f t="shared" si="16"/>
        <v>216.5983333333333</v>
      </c>
      <c r="Y165" s="32">
        <f t="shared" si="17"/>
        <v>24.401666666666699</v>
      </c>
    </row>
    <row r="166" spans="22:25">
      <c r="V166" s="1">
        <f t="shared" si="18"/>
        <v>242</v>
      </c>
      <c r="W166" s="32">
        <f t="shared" si="15"/>
        <v>364.77333333333331</v>
      </c>
      <c r="X166" s="25">
        <f t="shared" si="16"/>
        <v>217.19333333333333</v>
      </c>
      <c r="Y166" s="32">
        <f t="shared" si="17"/>
        <v>24.806666666666672</v>
      </c>
    </row>
    <row r="167" spans="22:25">
      <c r="V167" s="1">
        <f t="shared" si="18"/>
        <v>243</v>
      </c>
      <c r="W167" s="32">
        <f t="shared" si="15"/>
        <v>365.1400000000001</v>
      </c>
      <c r="X167" s="25">
        <f t="shared" si="16"/>
        <v>217.78500000000003</v>
      </c>
      <c r="Y167" s="32">
        <f t="shared" si="17"/>
        <v>25.214999999999975</v>
      </c>
    </row>
    <row r="168" spans="22:25">
      <c r="V168" s="1">
        <f t="shared" si="18"/>
        <v>244</v>
      </c>
      <c r="W168" s="32">
        <f t="shared" si="15"/>
        <v>365.49333333333357</v>
      </c>
      <c r="X168" s="25">
        <f t="shared" si="16"/>
        <v>218.37333333333333</v>
      </c>
      <c r="Y168" s="32">
        <f t="shared" si="17"/>
        <v>25.626666666666665</v>
      </c>
    </row>
    <row r="169" spans="22:25">
      <c r="V169" s="1">
        <f t="shared" si="18"/>
        <v>245</v>
      </c>
      <c r="W169" s="32">
        <f t="shared" si="15"/>
        <v>365.83333333333326</v>
      </c>
      <c r="X169" s="25">
        <f t="shared" si="16"/>
        <v>218.95833333333331</v>
      </c>
      <c r="Y169" s="32">
        <f t="shared" si="17"/>
        <v>26.041666666666686</v>
      </c>
    </row>
    <row r="170" spans="22:25">
      <c r="V170" s="1">
        <f t="shared" si="18"/>
        <v>246</v>
      </c>
      <c r="W170" s="32">
        <f t="shared" si="15"/>
        <v>366.16000000000008</v>
      </c>
      <c r="X170" s="25">
        <f t="shared" si="16"/>
        <v>219.54000000000002</v>
      </c>
      <c r="Y170" s="32">
        <f t="shared" si="17"/>
        <v>26.45999999999998</v>
      </c>
    </row>
    <row r="171" spans="22:25">
      <c r="V171" s="1">
        <f t="shared" si="18"/>
        <v>247</v>
      </c>
      <c r="W171" s="32">
        <f t="shared" si="15"/>
        <v>366.47333333333336</v>
      </c>
      <c r="X171" s="25">
        <f t="shared" si="16"/>
        <v>220.11833333333334</v>
      </c>
      <c r="Y171" s="32">
        <f t="shared" si="17"/>
        <v>26.881666666666661</v>
      </c>
    </row>
    <row r="172" spans="22:25">
      <c r="V172" s="1">
        <f t="shared" si="18"/>
        <v>248</v>
      </c>
      <c r="W172" s="32">
        <f t="shared" ref="W172:W235" si="19">X172*5+Y172*0.5*3-Y172*0.5-V172*3-20</f>
        <v>366.77333333333331</v>
      </c>
      <c r="X172" s="25">
        <f t="shared" ref="X172:X235" si="20">(V172^2-120^2)/(2*300)+V172*(420-V172)/300</f>
        <v>220.69333333333333</v>
      </c>
      <c r="Y172" s="32">
        <f t="shared" ref="Y172:Y235" si="21">V172-X172</f>
        <v>27.306666666666672</v>
      </c>
    </row>
    <row r="173" spans="22:25">
      <c r="V173" s="1">
        <f t="shared" si="18"/>
        <v>249</v>
      </c>
      <c r="W173" s="32">
        <f t="shared" si="19"/>
        <v>367.05999999999972</v>
      </c>
      <c r="X173" s="25">
        <f t="shared" si="20"/>
        <v>221.26499999999999</v>
      </c>
      <c r="Y173" s="32">
        <f t="shared" si="21"/>
        <v>27.735000000000014</v>
      </c>
    </row>
    <row r="174" spans="22:25">
      <c r="V174" s="1">
        <f t="shared" si="18"/>
        <v>250</v>
      </c>
      <c r="W174" s="32">
        <f t="shared" si="19"/>
        <v>367.33333333333326</v>
      </c>
      <c r="X174" s="25">
        <f t="shared" si="20"/>
        <v>221.83333333333331</v>
      </c>
      <c r="Y174" s="32">
        <f t="shared" si="21"/>
        <v>28.166666666666686</v>
      </c>
    </row>
    <row r="175" spans="22:25">
      <c r="V175" s="1">
        <f t="shared" si="18"/>
        <v>251</v>
      </c>
      <c r="W175" s="32">
        <f t="shared" si="19"/>
        <v>367.59333333333348</v>
      </c>
      <c r="X175" s="25">
        <f t="shared" si="20"/>
        <v>222.39833333333334</v>
      </c>
      <c r="Y175" s="32">
        <f t="shared" si="21"/>
        <v>28.601666666666659</v>
      </c>
    </row>
    <row r="176" spans="22:25">
      <c r="V176" s="1">
        <f t="shared" si="18"/>
        <v>252</v>
      </c>
      <c r="W176" s="32">
        <f t="shared" si="19"/>
        <v>367.83999999999992</v>
      </c>
      <c r="X176" s="25">
        <f t="shared" si="20"/>
        <v>222.96</v>
      </c>
      <c r="Y176" s="32">
        <f t="shared" si="21"/>
        <v>29.039999999999992</v>
      </c>
    </row>
    <row r="177" spans="22:25">
      <c r="V177" s="1">
        <f t="shared" si="18"/>
        <v>253</v>
      </c>
      <c r="W177" s="32">
        <f t="shared" si="19"/>
        <v>368.07333333333349</v>
      </c>
      <c r="X177" s="25">
        <f t="shared" si="20"/>
        <v>223.51833333333335</v>
      </c>
      <c r="Y177" s="32">
        <f t="shared" si="21"/>
        <v>29.481666666666655</v>
      </c>
    </row>
    <row r="178" spans="22:25">
      <c r="V178" s="1">
        <f t="shared" si="18"/>
        <v>254</v>
      </c>
      <c r="W178" s="32">
        <f t="shared" si="19"/>
        <v>368.29333333333329</v>
      </c>
      <c r="X178" s="25">
        <f t="shared" si="20"/>
        <v>224.07333333333332</v>
      </c>
      <c r="Y178" s="32">
        <f t="shared" si="21"/>
        <v>29.926666666666677</v>
      </c>
    </row>
    <row r="179" spans="22:25">
      <c r="V179" s="1">
        <f t="shared" si="18"/>
        <v>255</v>
      </c>
      <c r="W179" s="32">
        <f t="shared" si="19"/>
        <v>368.5</v>
      </c>
      <c r="X179" s="25">
        <f t="shared" si="20"/>
        <v>224.625</v>
      </c>
      <c r="Y179" s="32">
        <f t="shared" si="21"/>
        <v>30.375</v>
      </c>
    </row>
    <row r="180" spans="22:25">
      <c r="V180" s="1">
        <f t="shared" si="18"/>
        <v>256</v>
      </c>
      <c r="W180" s="32">
        <f t="shared" si="19"/>
        <v>368.69333333333338</v>
      </c>
      <c r="X180" s="25">
        <f t="shared" si="20"/>
        <v>225.17333333333335</v>
      </c>
      <c r="Y180" s="32">
        <f t="shared" si="21"/>
        <v>30.826666666666654</v>
      </c>
    </row>
    <row r="181" spans="22:25">
      <c r="V181" s="1">
        <f t="shared" si="18"/>
        <v>257</v>
      </c>
      <c r="W181" s="32">
        <f t="shared" si="19"/>
        <v>368.87333333333322</v>
      </c>
      <c r="X181" s="25">
        <f t="shared" si="20"/>
        <v>225.71833333333331</v>
      </c>
      <c r="Y181" s="32">
        <f t="shared" si="21"/>
        <v>31.281666666666695</v>
      </c>
    </row>
    <row r="182" spans="22:25">
      <c r="V182" s="1">
        <f t="shared" si="18"/>
        <v>258</v>
      </c>
      <c r="W182" s="32">
        <f t="shared" si="19"/>
        <v>369.03999999999996</v>
      </c>
      <c r="X182" s="25">
        <f t="shared" si="20"/>
        <v>226.26</v>
      </c>
      <c r="Y182" s="32">
        <f t="shared" si="21"/>
        <v>31.740000000000009</v>
      </c>
    </row>
    <row r="183" spans="22:25">
      <c r="V183" s="1">
        <f t="shared" si="18"/>
        <v>259</v>
      </c>
      <c r="W183" s="32">
        <f t="shared" si="19"/>
        <v>369.19333333333338</v>
      </c>
      <c r="X183" s="25">
        <f t="shared" si="20"/>
        <v>226.79833333333335</v>
      </c>
      <c r="Y183" s="32">
        <f t="shared" si="21"/>
        <v>32.201666666666654</v>
      </c>
    </row>
    <row r="184" spans="22:25">
      <c r="V184" s="1">
        <f t="shared" si="18"/>
        <v>260</v>
      </c>
      <c r="W184" s="32">
        <f t="shared" si="19"/>
        <v>369.33333333333326</v>
      </c>
      <c r="X184" s="25">
        <f t="shared" si="20"/>
        <v>227.33333333333331</v>
      </c>
      <c r="Y184" s="32">
        <f t="shared" si="21"/>
        <v>32.666666666666686</v>
      </c>
    </row>
    <row r="185" spans="22:25">
      <c r="V185" s="1">
        <f t="shared" si="18"/>
        <v>261</v>
      </c>
      <c r="W185" s="32">
        <f t="shared" si="19"/>
        <v>369.46000000000004</v>
      </c>
      <c r="X185" s="25">
        <f t="shared" si="20"/>
        <v>227.86500000000001</v>
      </c>
      <c r="Y185" s="32">
        <f t="shared" si="21"/>
        <v>33.134999999999991</v>
      </c>
    </row>
    <row r="186" spans="22:25">
      <c r="V186" s="1">
        <f t="shared" si="18"/>
        <v>262</v>
      </c>
      <c r="W186" s="32">
        <f t="shared" si="19"/>
        <v>369.57333333333349</v>
      </c>
      <c r="X186" s="25">
        <f t="shared" si="20"/>
        <v>228.39333333333335</v>
      </c>
      <c r="Y186" s="32">
        <f t="shared" si="21"/>
        <v>33.606666666666655</v>
      </c>
    </row>
    <row r="187" spans="22:25">
      <c r="V187" s="1">
        <f t="shared" si="18"/>
        <v>263</v>
      </c>
      <c r="W187" s="32">
        <f t="shared" si="19"/>
        <v>369.6733333333334</v>
      </c>
      <c r="X187" s="25">
        <f t="shared" si="20"/>
        <v>228.91833333333332</v>
      </c>
      <c r="Y187" s="32">
        <f t="shared" si="21"/>
        <v>34.081666666666678</v>
      </c>
    </row>
    <row r="188" spans="22:25">
      <c r="V188" s="1">
        <f t="shared" si="18"/>
        <v>264</v>
      </c>
      <c r="W188" s="32">
        <f t="shared" si="19"/>
        <v>369.76</v>
      </c>
      <c r="X188" s="25">
        <f t="shared" si="20"/>
        <v>229.44</v>
      </c>
      <c r="Y188" s="32">
        <f t="shared" si="21"/>
        <v>34.56</v>
      </c>
    </row>
    <row r="189" spans="22:25">
      <c r="V189" s="1">
        <f t="shared" si="18"/>
        <v>265</v>
      </c>
      <c r="W189" s="32">
        <f t="shared" si="19"/>
        <v>369.83333333333326</v>
      </c>
      <c r="X189" s="25">
        <f t="shared" si="20"/>
        <v>229.95833333333331</v>
      </c>
      <c r="Y189" s="32">
        <f t="shared" si="21"/>
        <v>35.041666666666686</v>
      </c>
    </row>
    <row r="190" spans="22:25">
      <c r="V190" s="1">
        <f t="shared" si="18"/>
        <v>266</v>
      </c>
      <c r="W190" s="32">
        <f t="shared" si="19"/>
        <v>369.8933333333332</v>
      </c>
      <c r="X190" s="25">
        <f t="shared" si="20"/>
        <v>230.4733333333333</v>
      </c>
      <c r="Y190" s="32">
        <f t="shared" si="21"/>
        <v>35.526666666666699</v>
      </c>
    </row>
    <row r="191" spans="22:25">
      <c r="V191" s="1">
        <f t="shared" si="18"/>
        <v>267</v>
      </c>
      <c r="W191" s="32">
        <f t="shared" si="19"/>
        <v>369.94000000000005</v>
      </c>
      <c r="X191" s="25">
        <f t="shared" si="20"/>
        <v>230.98499999999999</v>
      </c>
      <c r="Y191" s="32">
        <f t="shared" si="21"/>
        <v>36.015000000000015</v>
      </c>
    </row>
    <row r="192" spans="22:25">
      <c r="V192" s="1">
        <f t="shared" si="18"/>
        <v>268</v>
      </c>
      <c r="W192" s="32">
        <f t="shared" si="19"/>
        <v>369.97333333333336</v>
      </c>
      <c r="X192" s="25">
        <f t="shared" si="20"/>
        <v>231.49333333333334</v>
      </c>
      <c r="Y192" s="32">
        <f t="shared" si="21"/>
        <v>36.506666666666661</v>
      </c>
    </row>
    <row r="193" spans="22:25">
      <c r="V193" s="1">
        <f t="shared" si="18"/>
        <v>269</v>
      </c>
      <c r="W193" s="32">
        <f t="shared" si="19"/>
        <v>369.99333333333357</v>
      </c>
      <c r="X193" s="25">
        <f t="shared" si="20"/>
        <v>231.99833333333333</v>
      </c>
      <c r="Y193" s="32">
        <f t="shared" si="21"/>
        <v>37.001666666666665</v>
      </c>
    </row>
    <row r="194" spans="22:25">
      <c r="V194" s="1">
        <f t="shared" si="18"/>
        <v>270</v>
      </c>
      <c r="W194" s="32">
        <f t="shared" si="19"/>
        <v>370</v>
      </c>
      <c r="X194" s="25">
        <f t="shared" si="20"/>
        <v>232.5</v>
      </c>
      <c r="Y194" s="32">
        <f t="shared" si="21"/>
        <v>37.5</v>
      </c>
    </row>
    <row r="195" spans="22:25">
      <c r="V195" s="1">
        <f t="shared" si="18"/>
        <v>271</v>
      </c>
      <c r="W195" s="32">
        <f t="shared" si="19"/>
        <v>369.99333333333357</v>
      </c>
      <c r="X195" s="25">
        <f t="shared" si="20"/>
        <v>232.99833333333333</v>
      </c>
      <c r="Y195" s="32">
        <f t="shared" si="21"/>
        <v>38.001666666666665</v>
      </c>
    </row>
    <row r="196" spans="22:25">
      <c r="V196" s="1">
        <f t="shared" si="18"/>
        <v>272</v>
      </c>
      <c r="W196" s="32">
        <f t="shared" si="19"/>
        <v>369.97333333333336</v>
      </c>
      <c r="X196" s="25">
        <f t="shared" si="20"/>
        <v>233.49333333333334</v>
      </c>
      <c r="Y196" s="32">
        <f t="shared" si="21"/>
        <v>38.506666666666661</v>
      </c>
    </row>
    <row r="197" spans="22:25">
      <c r="V197" s="1">
        <f t="shared" si="18"/>
        <v>273</v>
      </c>
      <c r="W197" s="32">
        <f t="shared" si="19"/>
        <v>369.94000000000028</v>
      </c>
      <c r="X197" s="25">
        <f t="shared" si="20"/>
        <v>233.98500000000001</v>
      </c>
      <c r="Y197" s="32">
        <f t="shared" si="21"/>
        <v>39.014999999999986</v>
      </c>
    </row>
    <row r="198" spans="22:25">
      <c r="V198" s="1">
        <f t="shared" si="18"/>
        <v>274</v>
      </c>
      <c r="W198" s="32">
        <f t="shared" si="19"/>
        <v>369.8933333333332</v>
      </c>
      <c r="X198" s="25">
        <f t="shared" si="20"/>
        <v>234.47333333333333</v>
      </c>
      <c r="Y198" s="32">
        <f t="shared" si="21"/>
        <v>39.526666666666671</v>
      </c>
    </row>
    <row r="199" spans="22:25">
      <c r="V199" s="1">
        <f t="shared" si="18"/>
        <v>275</v>
      </c>
      <c r="W199" s="32">
        <f t="shared" si="19"/>
        <v>369.83333333333326</v>
      </c>
      <c r="X199" s="25">
        <f t="shared" si="20"/>
        <v>234.95833333333331</v>
      </c>
      <c r="Y199" s="32">
        <f t="shared" si="21"/>
        <v>40.041666666666686</v>
      </c>
    </row>
    <row r="200" spans="22:25">
      <c r="V200" s="1">
        <f t="shared" si="18"/>
        <v>276</v>
      </c>
      <c r="W200" s="32">
        <f t="shared" si="19"/>
        <v>369.76</v>
      </c>
      <c r="X200" s="25">
        <f t="shared" si="20"/>
        <v>235.44</v>
      </c>
      <c r="Y200" s="32">
        <f t="shared" si="21"/>
        <v>40.56</v>
      </c>
    </row>
    <row r="201" spans="22:25">
      <c r="V201" s="1">
        <f t="shared" si="18"/>
        <v>277</v>
      </c>
      <c r="W201" s="32">
        <f t="shared" si="19"/>
        <v>369.6733333333334</v>
      </c>
      <c r="X201" s="25">
        <f t="shared" si="20"/>
        <v>235.91833333333332</v>
      </c>
      <c r="Y201" s="32">
        <f t="shared" si="21"/>
        <v>41.081666666666678</v>
      </c>
    </row>
    <row r="202" spans="22:25">
      <c r="V202" s="1">
        <f t="shared" si="18"/>
        <v>278</v>
      </c>
      <c r="W202" s="32">
        <f t="shared" si="19"/>
        <v>369.57333333333349</v>
      </c>
      <c r="X202" s="25">
        <f t="shared" si="20"/>
        <v>236.39333333333335</v>
      </c>
      <c r="Y202" s="32">
        <f t="shared" si="21"/>
        <v>41.606666666666655</v>
      </c>
    </row>
    <row r="203" spans="22:25">
      <c r="V203" s="1">
        <f t="shared" si="18"/>
        <v>279</v>
      </c>
      <c r="W203" s="32">
        <f t="shared" si="19"/>
        <v>369.46000000000004</v>
      </c>
      <c r="X203" s="25">
        <f t="shared" si="20"/>
        <v>236.86500000000001</v>
      </c>
      <c r="Y203" s="32">
        <f t="shared" si="21"/>
        <v>42.134999999999991</v>
      </c>
    </row>
    <row r="204" spans="22:25">
      <c r="V204" s="1">
        <f t="shared" ref="V204:V267" si="22">V203+1</f>
        <v>280</v>
      </c>
      <c r="W204" s="32">
        <f t="shared" si="19"/>
        <v>369.33333333333326</v>
      </c>
      <c r="X204" s="25">
        <f t="shared" si="20"/>
        <v>237.33333333333331</v>
      </c>
      <c r="Y204" s="32">
        <f t="shared" si="21"/>
        <v>42.666666666666686</v>
      </c>
    </row>
    <row r="205" spans="22:25">
      <c r="V205" s="1">
        <f t="shared" si="22"/>
        <v>281</v>
      </c>
      <c r="W205" s="32">
        <f t="shared" si="19"/>
        <v>369.19333333333338</v>
      </c>
      <c r="X205" s="25">
        <f t="shared" si="20"/>
        <v>237.79833333333335</v>
      </c>
      <c r="Y205" s="32">
        <f t="shared" si="21"/>
        <v>43.201666666666654</v>
      </c>
    </row>
    <row r="206" spans="22:25">
      <c r="V206" s="1">
        <f t="shared" si="22"/>
        <v>282</v>
      </c>
      <c r="W206" s="32">
        <f t="shared" si="19"/>
        <v>369.03999999999996</v>
      </c>
      <c r="X206" s="25">
        <f t="shared" si="20"/>
        <v>238.26</v>
      </c>
      <c r="Y206" s="32">
        <f t="shared" si="21"/>
        <v>43.740000000000009</v>
      </c>
    </row>
    <row r="207" spans="22:25">
      <c r="V207" s="1">
        <f t="shared" si="22"/>
        <v>283</v>
      </c>
      <c r="W207" s="32">
        <f t="shared" si="19"/>
        <v>368.87333333333322</v>
      </c>
      <c r="X207" s="25">
        <f t="shared" si="20"/>
        <v>238.71833333333336</v>
      </c>
      <c r="Y207" s="32">
        <f t="shared" si="21"/>
        <v>44.281666666666638</v>
      </c>
    </row>
    <row r="208" spans="22:25">
      <c r="V208" s="1">
        <f t="shared" si="22"/>
        <v>284</v>
      </c>
      <c r="W208" s="32">
        <f t="shared" si="19"/>
        <v>368.69333333333338</v>
      </c>
      <c r="X208" s="25">
        <f t="shared" si="20"/>
        <v>239.17333333333335</v>
      </c>
      <c r="Y208" s="32">
        <f t="shared" si="21"/>
        <v>44.826666666666654</v>
      </c>
    </row>
    <row r="209" spans="22:25">
      <c r="V209" s="1">
        <f t="shared" si="22"/>
        <v>285</v>
      </c>
      <c r="W209" s="32">
        <f t="shared" si="19"/>
        <v>368.5</v>
      </c>
      <c r="X209" s="25">
        <f t="shared" si="20"/>
        <v>239.625</v>
      </c>
      <c r="Y209" s="32">
        <f t="shared" si="21"/>
        <v>45.375</v>
      </c>
    </row>
    <row r="210" spans="22:25">
      <c r="V210" s="1">
        <f t="shared" si="22"/>
        <v>286</v>
      </c>
      <c r="W210" s="32">
        <f t="shared" si="19"/>
        <v>368.29333333333329</v>
      </c>
      <c r="X210" s="25">
        <f t="shared" si="20"/>
        <v>240.07333333333332</v>
      </c>
      <c r="Y210" s="32">
        <f t="shared" si="21"/>
        <v>45.926666666666677</v>
      </c>
    </row>
    <row r="211" spans="22:25">
      <c r="V211" s="1">
        <f t="shared" si="22"/>
        <v>287</v>
      </c>
      <c r="W211" s="32">
        <f t="shared" si="19"/>
        <v>368.07333333333349</v>
      </c>
      <c r="X211" s="25">
        <f t="shared" si="20"/>
        <v>240.51833333333332</v>
      </c>
      <c r="Y211" s="32">
        <f t="shared" si="21"/>
        <v>46.481666666666683</v>
      </c>
    </row>
    <row r="212" spans="22:25">
      <c r="V212" s="1">
        <f t="shared" si="22"/>
        <v>288</v>
      </c>
      <c r="W212" s="32">
        <f t="shared" si="19"/>
        <v>367.83999999999992</v>
      </c>
      <c r="X212" s="25">
        <f t="shared" si="20"/>
        <v>240.95999999999998</v>
      </c>
      <c r="Y212" s="32">
        <f t="shared" si="21"/>
        <v>47.04000000000002</v>
      </c>
    </row>
    <row r="213" spans="22:25">
      <c r="V213" s="1">
        <f t="shared" si="22"/>
        <v>289</v>
      </c>
      <c r="W213" s="32">
        <f t="shared" si="19"/>
        <v>367.59333333333348</v>
      </c>
      <c r="X213" s="25">
        <f t="shared" si="20"/>
        <v>241.39833333333334</v>
      </c>
      <c r="Y213" s="32">
        <f t="shared" si="21"/>
        <v>47.601666666666659</v>
      </c>
    </row>
    <row r="214" spans="22:25">
      <c r="V214" s="1">
        <f t="shared" si="22"/>
        <v>290</v>
      </c>
      <c r="W214" s="32">
        <f t="shared" si="19"/>
        <v>367.33333333333348</v>
      </c>
      <c r="X214" s="25">
        <f t="shared" si="20"/>
        <v>241.83333333333334</v>
      </c>
      <c r="Y214" s="32">
        <f t="shared" si="21"/>
        <v>48.166666666666657</v>
      </c>
    </row>
    <row r="215" spans="22:25">
      <c r="V215" s="1">
        <f t="shared" si="22"/>
        <v>291</v>
      </c>
      <c r="W215" s="32">
        <f t="shared" si="19"/>
        <v>367.05999999999972</v>
      </c>
      <c r="X215" s="25">
        <f t="shared" si="20"/>
        <v>242.26499999999999</v>
      </c>
      <c r="Y215" s="32">
        <f t="shared" si="21"/>
        <v>48.735000000000014</v>
      </c>
    </row>
    <row r="216" spans="22:25">
      <c r="V216" s="1">
        <f t="shared" si="22"/>
        <v>292</v>
      </c>
      <c r="W216" s="32">
        <f t="shared" si="19"/>
        <v>366.77333333333331</v>
      </c>
      <c r="X216" s="25">
        <f t="shared" si="20"/>
        <v>242.69333333333333</v>
      </c>
      <c r="Y216" s="32">
        <f t="shared" si="21"/>
        <v>49.306666666666672</v>
      </c>
    </row>
    <row r="217" spans="22:25">
      <c r="V217" s="1">
        <f t="shared" si="22"/>
        <v>293</v>
      </c>
      <c r="W217" s="32">
        <f t="shared" si="19"/>
        <v>366.47333333333336</v>
      </c>
      <c r="X217" s="25">
        <f t="shared" si="20"/>
        <v>243.11833333333334</v>
      </c>
      <c r="Y217" s="32">
        <f t="shared" si="21"/>
        <v>49.881666666666661</v>
      </c>
    </row>
    <row r="218" spans="22:25">
      <c r="V218" s="1">
        <f t="shared" si="22"/>
        <v>294</v>
      </c>
      <c r="W218" s="32">
        <f t="shared" si="19"/>
        <v>366.16000000000008</v>
      </c>
      <c r="X218" s="25">
        <f t="shared" si="20"/>
        <v>243.54000000000002</v>
      </c>
      <c r="Y218" s="32">
        <f t="shared" si="21"/>
        <v>50.45999999999998</v>
      </c>
    </row>
    <row r="219" spans="22:25">
      <c r="V219" s="1">
        <f t="shared" si="22"/>
        <v>295</v>
      </c>
      <c r="W219" s="32">
        <f t="shared" si="19"/>
        <v>365.83333333333348</v>
      </c>
      <c r="X219" s="25">
        <f t="shared" si="20"/>
        <v>243.95833333333334</v>
      </c>
      <c r="Y219" s="32">
        <f t="shared" si="21"/>
        <v>51.041666666666657</v>
      </c>
    </row>
    <row r="220" spans="22:25">
      <c r="V220" s="1">
        <f t="shared" si="22"/>
        <v>296</v>
      </c>
      <c r="W220" s="32">
        <f t="shared" si="19"/>
        <v>365.49333333333357</v>
      </c>
      <c r="X220" s="25">
        <f t="shared" si="20"/>
        <v>244.37333333333333</v>
      </c>
      <c r="Y220" s="32">
        <f t="shared" si="21"/>
        <v>51.626666666666665</v>
      </c>
    </row>
    <row r="221" spans="22:25">
      <c r="V221" s="1">
        <f t="shared" si="22"/>
        <v>297</v>
      </c>
      <c r="W221" s="32">
        <f t="shared" si="19"/>
        <v>365.13999999999987</v>
      </c>
      <c r="X221" s="25">
        <f t="shared" si="20"/>
        <v>244.785</v>
      </c>
      <c r="Y221" s="32">
        <f t="shared" si="21"/>
        <v>52.215000000000003</v>
      </c>
    </row>
    <row r="222" spans="22:25">
      <c r="V222" s="1">
        <f t="shared" si="22"/>
        <v>298</v>
      </c>
      <c r="W222" s="32">
        <f t="shared" si="19"/>
        <v>364.77333333333331</v>
      </c>
      <c r="X222" s="25">
        <f t="shared" si="20"/>
        <v>245.19333333333333</v>
      </c>
      <c r="Y222" s="32">
        <f t="shared" si="21"/>
        <v>52.806666666666672</v>
      </c>
    </row>
    <row r="223" spans="22:25">
      <c r="V223" s="1">
        <f t="shared" si="22"/>
        <v>299</v>
      </c>
      <c r="W223" s="32">
        <f t="shared" si="19"/>
        <v>364.3933333333332</v>
      </c>
      <c r="X223" s="25">
        <f t="shared" si="20"/>
        <v>245.59833333333333</v>
      </c>
      <c r="Y223" s="32">
        <f t="shared" si="21"/>
        <v>53.401666666666671</v>
      </c>
    </row>
    <row r="224" spans="22:25">
      <c r="V224" s="1">
        <f t="shared" si="22"/>
        <v>300</v>
      </c>
      <c r="W224" s="32">
        <f t="shared" si="19"/>
        <v>364</v>
      </c>
      <c r="X224" s="25">
        <f t="shared" si="20"/>
        <v>246</v>
      </c>
      <c r="Y224" s="32">
        <f t="shared" si="21"/>
        <v>54</v>
      </c>
    </row>
    <row r="225" spans="22:25">
      <c r="V225" s="1">
        <f t="shared" si="22"/>
        <v>301</v>
      </c>
      <c r="W225" s="32">
        <f t="shared" si="19"/>
        <v>363.59333333333325</v>
      </c>
      <c r="X225" s="25">
        <f t="shared" si="20"/>
        <v>246.39833333333331</v>
      </c>
      <c r="Y225" s="32">
        <f t="shared" si="21"/>
        <v>54.601666666666688</v>
      </c>
    </row>
    <row r="226" spans="22:25">
      <c r="V226" s="1">
        <f t="shared" si="22"/>
        <v>302</v>
      </c>
      <c r="W226" s="32">
        <f t="shared" si="19"/>
        <v>363.1733333333334</v>
      </c>
      <c r="X226" s="25">
        <f t="shared" si="20"/>
        <v>246.79333333333332</v>
      </c>
      <c r="Y226" s="32">
        <f t="shared" si="21"/>
        <v>55.206666666666678</v>
      </c>
    </row>
    <row r="227" spans="22:25">
      <c r="V227" s="1">
        <f t="shared" si="22"/>
        <v>303</v>
      </c>
      <c r="W227" s="32">
        <f t="shared" si="19"/>
        <v>362.74</v>
      </c>
      <c r="X227" s="25">
        <f t="shared" si="20"/>
        <v>247.185</v>
      </c>
      <c r="Y227" s="32">
        <f t="shared" si="21"/>
        <v>55.814999999999998</v>
      </c>
    </row>
    <row r="228" spans="22:25">
      <c r="V228" s="1">
        <f t="shared" si="22"/>
        <v>304</v>
      </c>
      <c r="W228" s="32">
        <f t="shared" si="19"/>
        <v>362.29333333333329</v>
      </c>
      <c r="X228" s="25">
        <f t="shared" si="20"/>
        <v>247.57333333333332</v>
      </c>
      <c r="Y228" s="32">
        <f t="shared" si="21"/>
        <v>56.426666666666677</v>
      </c>
    </row>
    <row r="229" spans="22:25">
      <c r="V229" s="1">
        <f t="shared" si="22"/>
        <v>305</v>
      </c>
      <c r="W229" s="32">
        <f t="shared" si="19"/>
        <v>361.83333333333326</v>
      </c>
      <c r="X229" s="25">
        <f t="shared" si="20"/>
        <v>247.95833333333331</v>
      </c>
      <c r="Y229" s="32">
        <f t="shared" si="21"/>
        <v>57.041666666666686</v>
      </c>
    </row>
    <row r="230" spans="22:25">
      <c r="V230" s="1">
        <f t="shared" si="22"/>
        <v>306</v>
      </c>
      <c r="W230" s="32">
        <f t="shared" si="19"/>
        <v>361.36000000000013</v>
      </c>
      <c r="X230" s="25">
        <f t="shared" si="20"/>
        <v>248.34</v>
      </c>
      <c r="Y230" s="32">
        <f t="shared" si="21"/>
        <v>57.66</v>
      </c>
    </row>
    <row r="231" spans="22:25">
      <c r="V231" s="1">
        <f t="shared" si="22"/>
        <v>307</v>
      </c>
      <c r="W231" s="32">
        <f t="shared" si="19"/>
        <v>360.87333333333322</v>
      </c>
      <c r="X231" s="25">
        <f t="shared" si="20"/>
        <v>248.71833333333336</v>
      </c>
      <c r="Y231" s="32">
        <f t="shared" si="21"/>
        <v>58.281666666666638</v>
      </c>
    </row>
    <row r="232" spans="22:25">
      <c r="V232" s="1">
        <f t="shared" si="22"/>
        <v>308</v>
      </c>
      <c r="W232" s="32">
        <f t="shared" si="19"/>
        <v>360.37333333333322</v>
      </c>
      <c r="X232" s="25">
        <f t="shared" si="20"/>
        <v>249.09333333333331</v>
      </c>
      <c r="Y232" s="32">
        <f t="shared" si="21"/>
        <v>58.906666666666695</v>
      </c>
    </row>
    <row r="233" spans="22:25">
      <c r="V233" s="1">
        <f t="shared" si="22"/>
        <v>309</v>
      </c>
      <c r="W233" s="32">
        <f t="shared" si="19"/>
        <v>359.8599999999999</v>
      </c>
      <c r="X233" s="25">
        <f t="shared" si="20"/>
        <v>249.46499999999997</v>
      </c>
      <c r="Y233" s="32">
        <f t="shared" si="21"/>
        <v>59.535000000000025</v>
      </c>
    </row>
    <row r="234" spans="22:25">
      <c r="V234" s="1">
        <f t="shared" si="22"/>
        <v>310</v>
      </c>
      <c r="W234" s="32">
        <f t="shared" si="19"/>
        <v>359.33333333333326</v>
      </c>
      <c r="X234" s="25">
        <f t="shared" si="20"/>
        <v>249.83333333333331</v>
      </c>
      <c r="Y234" s="32">
        <f t="shared" si="21"/>
        <v>60.166666666666686</v>
      </c>
    </row>
    <row r="235" spans="22:25">
      <c r="V235" s="1">
        <f t="shared" si="22"/>
        <v>311</v>
      </c>
      <c r="W235" s="32">
        <f t="shared" si="19"/>
        <v>358.79333333333329</v>
      </c>
      <c r="X235" s="25">
        <f t="shared" si="20"/>
        <v>250.19833333333332</v>
      </c>
      <c r="Y235" s="32">
        <f t="shared" si="21"/>
        <v>60.801666666666677</v>
      </c>
    </row>
    <row r="236" spans="22:25">
      <c r="V236" s="1">
        <f t="shared" si="22"/>
        <v>312</v>
      </c>
      <c r="W236" s="32">
        <f t="shared" ref="W236:W299" si="23">X236*5+Y236*0.5*3-Y236*0.5-V236*3-20</f>
        <v>358.24</v>
      </c>
      <c r="X236" s="25">
        <f t="shared" ref="X236:X299" si="24">(V236^2-120^2)/(2*300)+V236*(420-V236)/300</f>
        <v>250.56</v>
      </c>
      <c r="Y236" s="32">
        <f t="shared" ref="Y236:Y299" si="25">V236-X236</f>
        <v>61.44</v>
      </c>
    </row>
    <row r="237" spans="22:25">
      <c r="V237" s="1">
        <f t="shared" si="22"/>
        <v>313</v>
      </c>
      <c r="W237" s="32">
        <f t="shared" si="23"/>
        <v>357.6733333333334</v>
      </c>
      <c r="X237" s="25">
        <f t="shared" si="24"/>
        <v>250.91833333333335</v>
      </c>
      <c r="Y237" s="32">
        <f t="shared" si="25"/>
        <v>62.081666666666649</v>
      </c>
    </row>
    <row r="238" spans="22:25">
      <c r="V238" s="1">
        <f t="shared" si="22"/>
        <v>314</v>
      </c>
      <c r="W238" s="32">
        <f t="shared" si="23"/>
        <v>357.09333333333325</v>
      </c>
      <c r="X238" s="25">
        <f t="shared" si="24"/>
        <v>251.27333333333331</v>
      </c>
      <c r="Y238" s="32">
        <f t="shared" si="25"/>
        <v>62.726666666666688</v>
      </c>
    </row>
    <row r="239" spans="22:25">
      <c r="V239" s="1">
        <f t="shared" si="22"/>
        <v>315</v>
      </c>
      <c r="W239" s="32">
        <f t="shared" si="23"/>
        <v>356.5</v>
      </c>
      <c r="X239" s="25">
        <f t="shared" si="24"/>
        <v>251.625</v>
      </c>
      <c r="Y239" s="32">
        <f t="shared" si="25"/>
        <v>63.375</v>
      </c>
    </row>
    <row r="240" spans="22:25">
      <c r="V240" s="1">
        <f t="shared" si="22"/>
        <v>316</v>
      </c>
      <c r="W240" s="32">
        <f t="shared" si="23"/>
        <v>355.89333333333343</v>
      </c>
      <c r="X240" s="25">
        <f t="shared" si="24"/>
        <v>251.97333333333336</v>
      </c>
      <c r="Y240" s="32">
        <f t="shared" si="25"/>
        <v>64.026666666666642</v>
      </c>
    </row>
    <row r="241" spans="22:25">
      <c r="V241" s="1">
        <f t="shared" si="22"/>
        <v>317</v>
      </c>
      <c r="W241" s="32">
        <f t="shared" si="23"/>
        <v>355.27333333333331</v>
      </c>
      <c r="X241" s="25">
        <f t="shared" si="24"/>
        <v>252.31833333333333</v>
      </c>
      <c r="Y241" s="32">
        <f t="shared" si="25"/>
        <v>64.681666666666672</v>
      </c>
    </row>
    <row r="242" spans="22:25">
      <c r="V242" s="1">
        <f t="shared" si="22"/>
        <v>318</v>
      </c>
      <c r="W242" s="32">
        <f t="shared" si="23"/>
        <v>354.63999999999987</v>
      </c>
      <c r="X242" s="25">
        <f t="shared" si="24"/>
        <v>252.66</v>
      </c>
      <c r="Y242" s="32">
        <f t="shared" si="25"/>
        <v>65.34</v>
      </c>
    </row>
    <row r="243" spans="22:25">
      <c r="V243" s="1">
        <f t="shared" si="22"/>
        <v>319</v>
      </c>
      <c r="W243" s="32">
        <f t="shared" si="23"/>
        <v>353.99333333333357</v>
      </c>
      <c r="X243" s="25">
        <f t="shared" si="24"/>
        <v>252.99833333333333</v>
      </c>
      <c r="Y243" s="32">
        <f t="shared" si="25"/>
        <v>66.001666666666665</v>
      </c>
    </row>
    <row r="244" spans="22:25">
      <c r="V244" s="1">
        <f t="shared" si="22"/>
        <v>320</v>
      </c>
      <c r="W244" s="32">
        <f t="shared" si="23"/>
        <v>353.33333333333326</v>
      </c>
      <c r="X244" s="25">
        <f t="shared" si="24"/>
        <v>253.33333333333331</v>
      </c>
      <c r="Y244" s="32">
        <f t="shared" si="25"/>
        <v>66.666666666666686</v>
      </c>
    </row>
    <row r="245" spans="22:25">
      <c r="V245" s="1">
        <f t="shared" si="22"/>
        <v>321</v>
      </c>
      <c r="W245" s="32">
        <f t="shared" si="23"/>
        <v>352.66000000000008</v>
      </c>
      <c r="X245" s="25">
        <f t="shared" si="24"/>
        <v>253.66500000000002</v>
      </c>
      <c r="Y245" s="32">
        <f t="shared" si="25"/>
        <v>67.33499999999998</v>
      </c>
    </row>
    <row r="246" spans="22:25">
      <c r="V246" s="1">
        <f t="shared" si="22"/>
        <v>322</v>
      </c>
      <c r="W246" s="32">
        <f t="shared" si="23"/>
        <v>351.97333333333336</v>
      </c>
      <c r="X246" s="25">
        <f t="shared" si="24"/>
        <v>253.99333333333334</v>
      </c>
      <c r="Y246" s="32">
        <f t="shared" si="25"/>
        <v>68.006666666666661</v>
      </c>
    </row>
    <row r="247" spans="22:25">
      <c r="V247" s="1">
        <f t="shared" si="22"/>
        <v>323</v>
      </c>
      <c r="W247" s="32">
        <f t="shared" si="23"/>
        <v>351.27333333333331</v>
      </c>
      <c r="X247" s="25">
        <f t="shared" si="24"/>
        <v>254.31833333333333</v>
      </c>
      <c r="Y247" s="32">
        <f t="shared" si="25"/>
        <v>68.681666666666672</v>
      </c>
    </row>
    <row r="248" spans="22:25">
      <c r="V248" s="1">
        <f t="shared" si="22"/>
        <v>324</v>
      </c>
      <c r="W248" s="32">
        <f t="shared" si="23"/>
        <v>350.55999999999995</v>
      </c>
      <c r="X248" s="25">
        <f t="shared" si="24"/>
        <v>254.64000000000001</v>
      </c>
      <c r="Y248" s="32">
        <f t="shared" si="25"/>
        <v>69.359999999999985</v>
      </c>
    </row>
    <row r="249" spans="22:25">
      <c r="V249" s="1">
        <f t="shared" si="22"/>
        <v>325</v>
      </c>
      <c r="W249" s="32">
        <f t="shared" si="23"/>
        <v>349.83333333333326</v>
      </c>
      <c r="X249" s="25">
        <f t="shared" si="24"/>
        <v>254.95833333333331</v>
      </c>
      <c r="Y249" s="32">
        <f t="shared" si="25"/>
        <v>70.041666666666686</v>
      </c>
    </row>
    <row r="250" spans="22:25">
      <c r="V250" s="1">
        <f t="shared" si="22"/>
        <v>326</v>
      </c>
      <c r="W250" s="32">
        <f t="shared" si="23"/>
        <v>349.09333333333325</v>
      </c>
      <c r="X250" s="25">
        <f t="shared" si="24"/>
        <v>255.27333333333331</v>
      </c>
      <c r="Y250" s="32">
        <f t="shared" si="25"/>
        <v>70.726666666666688</v>
      </c>
    </row>
    <row r="251" spans="22:25">
      <c r="V251" s="1">
        <f t="shared" si="22"/>
        <v>327</v>
      </c>
      <c r="W251" s="32">
        <f t="shared" si="23"/>
        <v>348.33999999999992</v>
      </c>
      <c r="X251" s="25">
        <f t="shared" si="24"/>
        <v>255.58500000000001</v>
      </c>
      <c r="Y251" s="32">
        <f t="shared" si="25"/>
        <v>71.414999999999992</v>
      </c>
    </row>
    <row r="252" spans="22:25">
      <c r="V252" s="1">
        <f t="shared" si="22"/>
        <v>328</v>
      </c>
      <c r="W252" s="32">
        <f t="shared" si="23"/>
        <v>347.57333333333349</v>
      </c>
      <c r="X252" s="25">
        <f t="shared" si="24"/>
        <v>255.89333333333335</v>
      </c>
      <c r="Y252" s="32">
        <f t="shared" si="25"/>
        <v>72.106666666666655</v>
      </c>
    </row>
    <row r="253" spans="22:25">
      <c r="V253" s="1">
        <f t="shared" si="22"/>
        <v>329</v>
      </c>
      <c r="W253" s="32">
        <f t="shared" si="23"/>
        <v>346.79333333333329</v>
      </c>
      <c r="X253" s="25">
        <f t="shared" si="24"/>
        <v>256.19833333333332</v>
      </c>
      <c r="Y253" s="32">
        <f t="shared" si="25"/>
        <v>72.801666666666677</v>
      </c>
    </row>
    <row r="254" spans="22:25">
      <c r="V254" s="1">
        <f t="shared" si="22"/>
        <v>330</v>
      </c>
      <c r="W254" s="32">
        <f t="shared" si="23"/>
        <v>346</v>
      </c>
      <c r="X254" s="25">
        <f t="shared" si="24"/>
        <v>256.5</v>
      </c>
      <c r="Y254" s="32">
        <f t="shared" si="25"/>
        <v>73.5</v>
      </c>
    </row>
    <row r="255" spans="22:25">
      <c r="V255" s="1">
        <f t="shared" si="22"/>
        <v>331</v>
      </c>
      <c r="W255" s="32">
        <f t="shared" si="23"/>
        <v>345.19333333333338</v>
      </c>
      <c r="X255" s="25">
        <f t="shared" si="24"/>
        <v>256.79833333333335</v>
      </c>
      <c r="Y255" s="32">
        <f t="shared" si="25"/>
        <v>74.201666666666654</v>
      </c>
    </row>
    <row r="256" spans="22:25">
      <c r="V256" s="1">
        <f t="shared" si="22"/>
        <v>332</v>
      </c>
      <c r="W256" s="32">
        <f t="shared" si="23"/>
        <v>344.37333333333322</v>
      </c>
      <c r="X256" s="25">
        <f t="shared" si="24"/>
        <v>257.09333333333336</v>
      </c>
      <c r="Y256" s="32">
        <f t="shared" si="25"/>
        <v>74.906666666666638</v>
      </c>
    </row>
    <row r="257" spans="22:25">
      <c r="V257" s="1">
        <f t="shared" si="22"/>
        <v>333</v>
      </c>
      <c r="W257" s="32">
        <f t="shared" si="23"/>
        <v>343.53999999999996</v>
      </c>
      <c r="X257" s="25">
        <f t="shared" si="24"/>
        <v>257.38499999999999</v>
      </c>
      <c r="Y257" s="32">
        <f t="shared" si="25"/>
        <v>75.615000000000009</v>
      </c>
    </row>
    <row r="258" spans="22:25">
      <c r="V258" s="1">
        <f t="shared" si="22"/>
        <v>334</v>
      </c>
      <c r="W258" s="32">
        <f t="shared" si="23"/>
        <v>342.69333333333338</v>
      </c>
      <c r="X258" s="25">
        <f t="shared" si="24"/>
        <v>257.67333333333335</v>
      </c>
      <c r="Y258" s="32">
        <f t="shared" si="25"/>
        <v>76.326666666666654</v>
      </c>
    </row>
    <row r="259" spans="22:25">
      <c r="V259" s="1">
        <f t="shared" si="22"/>
        <v>335</v>
      </c>
      <c r="W259" s="32">
        <f t="shared" si="23"/>
        <v>341.83333333333326</v>
      </c>
      <c r="X259" s="25">
        <f t="shared" si="24"/>
        <v>257.95833333333331</v>
      </c>
      <c r="Y259" s="32">
        <f t="shared" si="25"/>
        <v>77.041666666666686</v>
      </c>
    </row>
    <row r="260" spans="22:25">
      <c r="V260" s="1">
        <f t="shared" si="22"/>
        <v>336</v>
      </c>
      <c r="W260" s="32">
        <f t="shared" si="23"/>
        <v>340.96000000000004</v>
      </c>
      <c r="X260" s="25">
        <f t="shared" si="24"/>
        <v>258.24</v>
      </c>
      <c r="Y260" s="32">
        <f t="shared" si="25"/>
        <v>77.759999999999991</v>
      </c>
    </row>
    <row r="261" spans="22:25">
      <c r="V261" s="1">
        <f t="shared" si="22"/>
        <v>337</v>
      </c>
      <c r="W261" s="32">
        <f t="shared" si="23"/>
        <v>340.07333333333349</v>
      </c>
      <c r="X261" s="25">
        <f t="shared" si="24"/>
        <v>258.51833333333332</v>
      </c>
      <c r="Y261" s="32">
        <f t="shared" si="25"/>
        <v>78.481666666666683</v>
      </c>
    </row>
    <row r="262" spans="22:25">
      <c r="V262" s="1">
        <f t="shared" si="22"/>
        <v>338</v>
      </c>
      <c r="W262" s="32">
        <f t="shared" si="23"/>
        <v>339.1733333333334</v>
      </c>
      <c r="X262" s="25">
        <f t="shared" si="24"/>
        <v>258.79333333333335</v>
      </c>
      <c r="Y262" s="32">
        <f t="shared" si="25"/>
        <v>79.206666666666649</v>
      </c>
    </row>
    <row r="263" spans="22:25">
      <c r="V263" s="1">
        <f t="shared" si="22"/>
        <v>339</v>
      </c>
      <c r="W263" s="32">
        <f t="shared" si="23"/>
        <v>338.26</v>
      </c>
      <c r="X263" s="25">
        <f t="shared" si="24"/>
        <v>259.065</v>
      </c>
      <c r="Y263" s="32">
        <f t="shared" si="25"/>
        <v>79.935000000000002</v>
      </c>
    </row>
    <row r="264" spans="22:25">
      <c r="V264" s="1">
        <f t="shared" si="22"/>
        <v>340</v>
      </c>
      <c r="W264" s="32">
        <f t="shared" si="23"/>
        <v>337.33333333333326</v>
      </c>
      <c r="X264" s="25">
        <f t="shared" si="24"/>
        <v>259.33333333333331</v>
      </c>
      <c r="Y264" s="32">
        <f t="shared" si="25"/>
        <v>80.666666666666686</v>
      </c>
    </row>
    <row r="265" spans="22:25">
      <c r="V265" s="1">
        <f t="shared" si="22"/>
        <v>341</v>
      </c>
      <c r="W265" s="32">
        <f t="shared" si="23"/>
        <v>336.39333333333343</v>
      </c>
      <c r="X265" s="25">
        <f t="shared" si="24"/>
        <v>259.59833333333336</v>
      </c>
      <c r="Y265" s="32">
        <f t="shared" si="25"/>
        <v>81.401666666666642</v>
      </c>
    </row>
    <row r="266" spans="22:25">
      <c r="V266" s="1">
        <f t="shared" si="22"/>
        <v>342</v>
      </c>
      <c r="W266" s="32">
        <f t="shared" si="23"/>
        <v>335.44000000000028</v>
      </c>
      <c r="X266" s="25">
        <f t="shared" si="24"/>
        <v>259.86</v>
      </c>
      <c r="Y266" s="32">
        <f t="shared" si="25"/>
        <v>82.139999999999986</v>
      </c>
    </row>
    <row r="267" spans="22:25">
      <c r="V267" s="1">
        <f t="shared" si="22"/>
        <v>343</v>
      </c>
      <c r="W267" s="32">
        <f t="shared" si="23"/>
        <v>334.47333333333336</v>
      </c>
      <c r="X267" s="25">
        <f t="shared" si="24"/>
        <v>260.11833333333334</v>
      </c>
      <c r="Y267" s="32">
        <f t="shared" si="25"/>
        <v>82.881666666666661</v>
      </c>
    </row>
    <row r="268" spans="22:25">
      <c r="V268" s="1">
        <f t="shared" ref="V268:V331" si="26">V267+1</f>
        <v>344</v>
      </c>
      <c r="W268" s="32">
        <f t="shared" si="23"/>
        <v>333.49333333333357</v>
      </c>
      <c r="X268" s="25">
        <f t="shared" si="24"/>
        <v>260.37333333333333</v>
      </c>
      <c r="Y268" s="32">
        <f t="shared" si="25"/>
        <v>83.626666666666665</v>
      </c>
    </row>
    <row r="269" spans="22:25">
      <c r="V269" s="1">
        <f t="shared" si="26"/>
        <v>345</v>
      </c>
      <c r="W269" s="32">
        <f t="shared" si="23"/>
        <v>332.5</v>
      </c>
      <c r="X269" s="25">
        <f t="shared" si="24"/>
        <v>260.625</v>
      </c>
      <c r="Y269" s="32">
        <f t="shared" si="25"/>
        <v>84.375</v>
      </c>
    </row>
    <row r="270" spans="22:25">
      <c r="V270" s="1">
        <f t="shared" si="26"/>
        <v>346</v>
      </c>
      <c r="W270" s="32">
        <f t="shared" si="23"/>
        <v>331.49333333333357</v>
      </c>
      <c r="X270" s="25">
        <f t="shared" si="24"/>
        <v>260.87333333333333</v>
      </c>
      <c r="Y270" s="32">
        <f t="shared" si="25"/>
        <v>85.126666666666665</v>
      </c>
    </row>
    <row r="271" spans="22:25">
      <c r="V271" s="1">
        <f t="shared" si="26"/>
        <v>347</v>
      </c>
      <c r="W271" s="32">
        <f t="shared" si="23"/>
        <v>330.47333333333336</v>
      </c>
      <c r="X271" s="25">
        <f t="shared" si="24"/>
        <v>261.11833333333334</v>
      </c>
      <c r="Y271" s="32">
        <f t="shared" si="25"/>
        <v>85.881666666666661</v>
      </c>
    </row>
    <row r="272" spans="22:25">
      <c r="V272" s="1">
        <f t="shared" si="26"/>
        <v>348</v>
      </c>
      <c r="W272" s="32">
        <f t="shared" si="23"/>
        <v>329.44000000000028</v>
      </c>
      <c r="X272" s="25">
        <f t="shared" si="24"/>
        <v>261.36</v>
      </c>
      <c r="Y272" s="32">
        <f t="shared" si="25"/>
        <v>86.639999999999986</v>
      </c>
    </row>
    <row r="273" spans="22:25">
      <c r="V273" s="1">
        <f t="shared" si="26"/>
        <v>349</v>
      </c>
      <c r="W273" s="32">
        <f t="shared" si="23"/>
        <v>328.39333333333343</v>
      </c>
      <c r="X273" s="25">
        <f t="shared" si="24"/>
        <v>261.59833333333336</v>
      </c>
      <c r="Y273" s="32">
        <f t="shared" si="25"/>
        <v>87.401666666666642</v>
      </c>
    </row>
    <row r="274" spans="22:25">
      <c r="V274" s="1">
        <f t="shared" si="26"/>
        <v>350</v>
      </c>
      <c r="W274" s="32">
        <f t="shared" si="23"/>
        <v>327.33333333333326</v>
      </c>
      <c r="X274" s="25">
        <f t="shared" si="24"/>
        <v>261.83333333333331</v>
      </c>
      <c r="Y274" s="32">
        <f t="shared" si="25"/>
        <v>88.166666666666686</v>
      </c>
    </row>
    <row r="275" spans="22:25">
      <c r="V275" s="1">
        <f t="shared" si="26"/>
        <v>351</v>
      </c>
      <c r="W275" s="32">
        <f t="shared" si="23"/>
        <v>326.26</v>
      </c>
      <c r="X275" s="25">
        <f t="shared" si="24"/>
        <v>262.065</v>
      </c>
      <c r="Y275" s="32">
        <f t="shared" si="25"/>
        <v>88.935000000000002</v>
      </c>
    </row>
    <row r="276" spans="22:25">
      <c r="V276" s="1">
        <f t="shared" si="26"/>
        <v>352</v>
      </c>
      <c r="W276" s="32">
        <f t="shared" si="23"/>
        <v>325.17333333333318</v>
      </c>
      <c r="X276" s="25">
        <f t="shared" si="24"/>
        <v>262.29333333333329</v>
      </c>
      <c r="Y276" s="32">
        <f t="shared" si="25"/>
        <v>89.706666666666706</v>
      </c>
    </row>
    <row r="277" spans="22:25">
      <c r="V277" s="1">
        <f t="shared" si="26"/>
        <v>353</v>
      </c>
      <c r="W277" s="32">
        <f t="shared" si="23"/>
        <v>324.07333333333349</v>
      </c>
      <c r="X277" s="25">
        <f t="shared" si="24"/>
        <v>262.51833333333332</v>
      </c>
      <c r="Y277" s="32">
        <f t="shared" si="25"/>
        <v>90.481666666666683</v>
      </c>
    </row>
    <row r="278" spans="22:25">
      <c r="V278" s="1">
        <f t="shared" si="26"/>
        <v>354</v>
      </c>
      <c r="W278" s="32">
        <f t="shared" si="23"/>
        <v>322.96000000000004</v>
      </c>
      <c r="X278" s="25">
        <f t="shared" si="24"/>
        <v>262.74</v>
      </c>
      <c r="Y278" s="32">
        <f t="shared" si="25"/>
        <v>91.259999999999991</v>
      </c>
    </row>
    <row r="279" spans="22:25">
      <c r="V279" s="1">
        <f t="shared" si="26"/>
        <v>355</v>
      </c>
      <c r="W279" s="32">
        <f t="shared" si="23"/>
        <v>321.83333333333326</v>
      </c>
      <c r="X279" s="25">
        <f t="shared" si="24"/>
        <v>262.95833333333331</v>
      </c>
      <c r="Y279" s="32">
        <f t="shared" si="25"/>
        <v>92.041666666666686</v>
      </c>
    </row>
    <row r="280" spans="22:25">
      <c r="V280" s="1">
        <f t="shared" si="26"/>
        <v>356</v>
      </c>
      <c r="W280" s="32">
        <f t="shared" si="23"/>
        <v>320.69333333333338</v>
      </c>
      <c r="X280" s="25">
        <f t="shared" si="24"/>
        <v>263.17333333333335</v>
      </c>
      <c r="Y280" s="32">
        <f t="shared" si="25"/>
        <v>92.826666666666654</v>
      </c>
    </row>
    <row r="281" spans="22:25">
      <c r="V281" s="1">
        <f t="shared" si="26"/>
        <v>357</v>
      </c>
      <c r="W281" s="32">
        <f t="shared" si="23"/>
        <v>319.53999999999996</v>
      </c>
      <c r="X281" s="25">
        <f t="shared" si="24"/>
        <v>263.38499999999999</v>
      </c>
      <c r="Y281" s="32">
        <f t="shared" si="25"/>
        <v>93.615000000000009</v>
      </c>
    </row>
    <row r="282" spans="22:25">
      <c r="V282" s="1">
        <f t="shared" si="26"/>
        <v>358</v>
      </c>
      <c r="W282" s="32">
        <f t="shared" si="23"/>
        <v>318.37333333333322</v>
      </c>
      <c r="X282" s="25">
        <f t="shared" si="24"/>
        <v>263.59333333333331</v>
      </c>
      <c r="Y282" s="32">
        <f t="shared" si="25"/>
        <v>94.406666666666695</v>
      </c>
    </row>
    <row r="283" spans="22:25">
      <c r="V283" s="1">
        <f t="shared" si="26"/>
        <v>359</v>
      </c>
      <c r="W283" s="32">
        <f t="shared" si="23"/>
        <v>317.19333333333338</v>
      </c>
      <c r="X283" s="25">
        <f t="shared" si="24"/>
        <v>263.79833333333335</v>
      </c>
      <c r="Y283" s="32">
        <f t="shared" si="25"/>
        <v>95.201666666666654</v>
      </c>
    </row>
    <row r="284" spans="22:25">
      <c r="V284" s="1">
        <f t="shared" si="26"/>
        <v>360</v>
      </c>
      <c r="W284" s="32">
        <f t="shared" si="23"/>
        <v>316</v>
      </c>
      <c r="X284" s="25">
        <f t="shared" si="24"/>
        <v>264</v>
      </c>
      <c r="Y284" s="32">
        <f t="shared" si="25"/>
        <v>96</v>
      </c>
    </row>
    <row r="285" spans="22:25">
      <c r="V285" s="1">
        <f t="shared" si="26"/>
        <v>361</v>
      </c>
      <c r="W285" s="32">
        <f t="shared" si="23"/>
        <v>314.79333333333329</v>
      </c>
      <c r="X285" s="25">
        <f t="shared" si="24"/>
        <v>264.19833333333332</v>
      </c>
      <c r="Y285" s="32">
        <f t="shared" si="25"/>
        <v>96.801666666666677</v>
      </c>
    </row>
    <row r="286" spans="22:25">
      <c r="V286" s="1">
        <f t="shared" si="26"/>
        <v>362</v>
      </c>
      <c r="W286" s="32">
        <f t="shared" si="23"/>
        <v>313.57333333333349</v>
      </c>
      <c r="X286" s="25">
        <f t="shared" si="24"/>
        <v>264.39333333333332</v>
      </c>
      <c r="Y286" s="32">
        <f t="shared" si="25"/>
        <v>97.606666666666683</v>
      </c>
    </row>
    <row r="287" spans="22:25">
      <c r="V287" s="1">
        <f t="shared" si="26"/>
        <v>363</v>
      </c>
      <c r="W287" s="32">
        <f t="shared" si="23"/>
        <v>312.34000000000015</v>
      </c>
      <c r="X287" s="25">
        <f t="shared" si="24"/>
        <v>264.58500000000004</v>
      </c>
      <c r="Y287" s="32">
        <f t="shared" si="25"/>
        <v>98.414999999999964</v>
      </c>
    </row>
    <row r="288" spans="22:25">
      <c r="V288" s="1">
        <f t="shared" si="26"/>
        <v>364</v>
      </c>
      <c r="W288" s="32">
        <f t="shared" si="23"/>
        <v>311.09333333333325</v>
      </c>
      <c r="X288" s="25">
        <f t="shared" si="24"/>
        <v>264.77333333333331</v>
      </c>
      <c r="Y288" s="32">
        <f t="shared" si="25"/>
        <v>99.226666666666688</v>
      </c>
    </row>
    <row r="289" spans="22:25">
      <c r="V289" s="1">
        <f t="shared" si="26"/>
        <v>365</v>
      </c>
      <c r="W289" s="32">
        <f t="shared" si="23"/>
        <v>309.83333333333326</v>
      </c>
      <c r="X289" s="25">
        <f t="shared" si="24"/>
        <v>264.95833333333331</v>
      </c>
      <c r="Y289" s="32">
        <f t="shared" si="25"/>
        <v>100.04166666666669</v>
      </c>
    </row>
    <row r="290" spans="22:25">
      <c r="V290" s="1">
        <f t="shared" si="26"/>
        <v>366</v>
      </c>
      <c r="W290" s="32">
        <f t="shared" si="23"/>
        <v>308.55999999999972</v>
      </c>
      <c r="X290" s="25">
        <f t="shared" si="24"/>
        <v>265.14</v>
      </c>
      <c r="Y290" s="32">
        <f t="shared" si="25"/>
        <v>100.86000000000001</v>
      </c>
    </row>
    <row r="291" spans="22:25">
      <c r="V291" s="1">
        <f t="shared" si="26"/>
        <v>367</v>
      </c>
      <c r="W291" s="32">
        <f t="shared" si="23"/>
        <v>307.27333333333331</v>
      </c>
      <c r="X291" s="25">
        <f t="shared" si="24"/>
        <v>265.31833333333333</v>
      </c>
      <c r="Y291" s="32">
        <f t="shared" si="25"/>
        <v>101.68166666666667</v>
      </c>
    </row>
    <row r="292" spans="22:25">
      <c r="V292" s="1">
        <f t="shared" si="26"/>
        <v>368</v>
      </c>
      <c r="W292" s="32">
        <f t="shared" si="23"/>
        <v>305.97333333333336</v>
      </c>
      <c r="X292" s="25">
        <f t="shared" si="24"/>
        <v>265.49333333333334</v>
      </c>
      <c r="Y292" s="32">
        <f t="shared" si="25"/>
        <v>102.50666666666666</v>
      </c>
    </row>
    <row r="293" spans="22:25">
      <c r="V293" s="1">
        <f t="shared" si="26"/>
        <v>369</v>
      </c>
      <c r="W293" s="32">
        <f t="shared" si="23"/>
        <v>304.66000000000008</v>
      </c>
      <c r="X293" s="25">
        <f t="shared" si="24"/>
        <v>265.66500000000002</v>
      </c>
      <c r="Y293" s="32">
        <f t="shared" si="25"/>
        <v>103.33499999999998</v>
      </c>
    </row>
    <row r="294" spans="22:25">
      <c r="V294" s="1">
        <f t="shared" si="26"/>
        <v>370</v>
      </c>
      <c r="W294" s="32">
        <f t="shared" si="23"/>
        <v>303.33333333333326</v>
      </c>
      <c r="X294" s="25">
        <f t="shared" si="24"/>
        <v>265.83333333333331</v>
      </c>
      <c r="Y294" s="32">
        <f t="shared" si="25"/>
        <v>104.16666666666669</v>
      </c>
    </row>
    <row r="295" spans="22:25">
      <c r="V295" s="1">
        <f t="shared" si="26"/>
        <v>371</v>
      </c>
      <c r="W295" s="32">
        <f t="shared" si="23"/>
        <v>301.99333333333357</v>
      </c>
      <c r="X295" s="25">
        <f t="shared" si="24"/>
        <v>265.99833333333333</v>
      </c>
      <c r="Y295" s="32">
        <f t="shared" si="25"/>
        <v>105.00166666666667</v>
      </c>
    </row>
    <row r="296" spans="22:25">
      <c r="V296" s="1">
        <f t="shared" si="26"/>
        <v>372</v>
      </c>
      <c r="W296" s="32">
        <f t="shared" si="23"/>
        <v>300.63999999999965</v>
      </c>
      <c r="X296" s="25">
        <f t="shared" si="24"/>
        <v>266.15999999999997</v>
      </c>
      <c r="Y296" s="32">
        <f t="shared" si="25"/>
        <v>105.84000000000003</v>
      </c>
    </row>
    <row r="297" spans="22:25">
      <c r="V297" s="1">
        <f t="shared" si="26"/>
        <v>373</v>
      </c>
      <c r="W297" s="32">
        <f t="shared" si="23"/>
        <v>299.27333333333331</v>
      </c>
      <c r="X297" s="25">
        <f t="shared" si="24"/>
        <v>266.31833333333333</v>
      </c>
      <c r="Y297" s="32">
        <f t="shared" si="25"/>
        <v>106.68166666666667</v>
      </c>
    </row>
    <row r="298" spans="22:25">
      <c r="V298" s="1">
        <f t="shared" si="26"/>
        <v>374</v>
      </c>
      <c r="W298" s="32">
        <f t="shared" si="23"/>
        <v>297.89333333333343</v>
      </c>
      <c r="X298" s="25">
        <f t="shared" si="24"/>
        <v>266.47333333333336</v>
      </c>
      <c r="Y298" s="32">
        <f t="shared" si="25"/>
        <v>107.52666666666664</v>
      </c>
    </row>
    <row r="299" spans="22:25">
      <c r="V299" s="1">
        <f t="shared" si="26"/>
        <v>375</v>
      </c>
      <c r="W299" s="32">
        <f t="shared" si="23"/>
        <v>296.5</v>
      </c>
      <c r="X299" s="25">
        <f t="shared" si="24"/>
        <v>266.625</v>
      </c>
      <c r="Y299" s="32">
        <f t="shared" si="25"/>
        <v>108.375</v>
      </c>
    </row>
    <row r="300" spans="22:25">
      <c r="V300" s="1">
        <f t="shared" si="26"/>
        <v>376</v>
      </c>
      <c r="W300" s="32">
        <f t="shared" ref="W300:W344" si="27">X300*5+Y300*0.5*3-Y300*0.5-V300*3-20</f>
        <v>295.09333333333325</v>
      </c>
      <c r="X300" s="25">
        <f t="shared" ref="X300:X344" si="28">(V300^2-120^2)/(2*300)+V300*(420-V300)/300</f>
        <v>266.77333333333331</v>
      </c>
      <c r="Y300" s="32">
        <f t="shared" ref="Y300:Y344" si="29">V300-X300</f>
        <v>109.22666666666669</v>
      </c>
    </row>
    <row r="301" spans="22:25">
      <c r="V301" s="1">
        <f t="shared" si="26"/>
        <v>377</v>
      </c>
      <c r="W301" s="32">
        <f t="shared" si="27"/>
        <v>293.6733333333334</v>
      </c>
      <c r="X301" s="25">
        <f t="shared" si="28"/>
        <v>266.91833333333335</v>
      </c>
      <c r="Y301" s="32">
        <f t="shared" si="29"/>
        <v>110.08166666666665</v>
      </c>
    </row>
    <row r="302" spans="22:25">
      <c r="V302" s="1">
        <f t="shared" si="26"/>
        <v>378</v>
      </c>
      <c r="W302" s="32">
        <f t="shared" si="27"/>
        <v>292.24</v>
      </c>
      <c r="X302" s="25">
        <f t="shared" si="28"/>
        <v>267.06</v>
      </c>
      <c r="Y302" s="32">
        <f t="shared" si="29"/>
        <v>110.94</v>
      </c>
    </row>
    <row r="303" spans="22:25">
      <c r="V303" s="1">
        <f t="shared" si="26"/>
        <v>379</v>
      </c>
      <c r="W303" s="32">
        <f t="shared" si="27"/>
        <v>290.79333333333329</v>
      </c>
      <c r="X303" s="25">
        <f t="shared" si="28"/>
        <v>267.19833333333332</v>
      </c>
      <c r="Y303" s="32">
        <f t="shared" si="29"/>
        <v>111.80166666666668</v>
      </c>
    </row>
    <row r="304" spans="22:25">
      <c r="V304" s="1">
        <f t="shared" si="26"/>
        <v>380</v>
      </c>
      <c r="W304" s="32">
        <f t="shared" si="27"/>
        <v>289.33333333333326</v>
      </c>
      <c r="X304" s="25">
        <f t="shared" si="28"/>
        <v>267.33333333333331</v>
      </c>
      <c r="Y304" s="32">
        <f t="shared" si="29"/>
        <v>112.66666666666669</v>
      </c>
    </row>
    <row r="305" spans="22:25">
      <c r="V305" s="1">
        <f t="shared" si="26"/>
        <v>381</v>
      </c>
      <c r="W305" s="32">
        <f t="shared" si="27"/>
        <v>287.86000000000035</v>
      </c>
      <c r="X305" s="25">
        <f t="shared" si="28"/>
        <v>267.46500000000003</v>
      </c>
      <c r="Y305" s="32">
        <f t="shared" si="29"/>
        <v>113.53499999999997</v>
      </c>
    </row>
    <row r="306" spans="22:25">
      <c r="V306" s="1">
        <f t="shared" si="26"/>
        <v>382</v>
      </c>
      <c r="W306" s="32">
        <f t="shared" si="27"/>
        <v>286.37333333333322</v>
      </c>
      <c r="X306" s="25">
        <f t="shared" si="28"/>
        <v>267.59333333333336</v>
      </c>
      <c r="Y306" s="32">
        <f t="shared" si="29"/>
        <v>114.40666666666664</v>
      </c>
    </row>
    <row r="307" spans="22:25">
      <c r="V307" s="1">
        <f t="shared" si="26"/>
        <v>383</v>
      </c>
      <c r="W307" s="32">
        <f t="shared" si="27"/>
        <v>284.87333333333322</v>
      </c>
      <c r="X307" s="25">
        <f t="shared" si="28"/>
        <v>267.71833333333331</v>
      </c>
      <c r="Y307" s="32">
        <f t="shared" si="29"/>
        <v>115.28166666666669</v>
      </c>
    </row>
    <row r="308" spans="22:25">
      <c r="V308" s="1">
        <f t="shared" si="26"/>
        <v>384</v>
      </c>
      <c r="W308" s="32">
        <f t="shared" si="27"/>
        <v>283.3599999999999</v>
      </c>
      <c r="X308" s="25">
        <f t="shared" si="28"/>
        <v>267.83999999999997</v>
      </c>
      <c r="Y308" s="32">
        <f t="shared" si="29"/>
        <v>116.16000000000003</v>
      </c>
    </row>
    <row r="309" spans="22:25">
      <c r="V309" s="1">
        <f t="shared" si="26"/>
        <v>385</v>
      </c>
      <c r="W309" s="32">
        <f t="shared" si="27"/>
        <v>281.83333333333326</v>
      </c>
      <c r="X309" s="25">
        <f t="shared" si="28"/>
        <v>267.95833333333331</v>
      </c>
      <c r="Y309" s="32">
        <f t="shared" si="29"/>
        <v>117.04166666666669</v>
      </c>
    </row>
    <row r="310" spans="22:25">
      <c r="V310" s="1">
        <f t="shared" si="26"/>
        <v>386</v>
      </c>
      <c r="W310" s="32">
        <f t="shared" si="27"/>
        <v>280.29333333333329</v>
      </c>
      <c r="X310" s="25">
        <f t="shared" si="28"/>
        <v>268.07333333333332</v>
      </c>
      <c r="Y310" s="32">
        <f t="shared" si="29"/>
        <v>117.92666666666668</v>
      </c>
    </row>
    <row r="311" spans="22:25">
      <c r="V311" s="1">
        <f t="shared" si="26"/>
        <v>387</v>
      </c>
      <c r="W311" s="32">
        <f t="shared" si="27"/>
        <v>278.74</v>
      </c>
      <c r="X311" s="25">
        <f t="shared" si="28"/>
        <v>268.185</v>
      </c>
      <c r="Y311" s="32">
        <f t="shared" si="29"/>
        <v>118.815</v>
      </c>
    </row>
    <row r="312" spans="22:25">
      <c r="V312" s="1">
        <f t="shared" si="26"/>
        <v>388</v>
      </c>
      <c r="W312" s="32">
        <f t="shared" si="27"/>
        <v>277.1733333333334</v>
      </c>
      <c r="X312" s="25">
        <f t="shared" si="28"/>
        <v>268.29333333333335</v>
      </c>
      <c r="Y312" s="32">
        <f t="shared" si="29"/>
        <v>119.70666666666665</v>
      </c>
    </row>
    <row r="313" spans="22:25">
      <c r="V313" s="1">
        <f t="shared" si="26"/>
        <v>389</v>
      </c>
      <c r="W313" s="32">
        <f t="shared" si="27"/>
        <v>275.59333333333325</v>
      </c>
      <c r="X313" s="25">
        <f t="shared" si="28"/>
        <v>268.39833333333331</v>
      </c>
      <c r="Y313" s="32">
        <f t="shared" si="29"/>
        <v>120.60166666666669</v>
      </c>
    </row>
    <row r="314" spans="22:25">
      <c r="V314" s="1">
        <f t="shared" si="26"/>
        <v>390</v>
      </c>
      <c r="W314" s="32">
        <f t="shared" si="27"/>
        <v>274</v>
      </c>
      <c r="X314" s="25">
        <f t="shared" si="28"/>
        <v>268.5</v>
      </c>
      <c r="Y314" s="32">
        <f t="shared" si="29"/>
        <v>121.5</v>
      </c>
    </row>
    <row r="315" spans="22:25">
      <c r="V315" s="1">
        <f t="shared" si="26"/>
        <v>391</v>
      </c>
      <c r="W315" s="32">
        <f t="shared" si="27"/>
        <v>272.39333333333343</v>
      </c>
      <c r="X315" s="25">
        <f t="shared" si="28"/>
        <v>268.59833333333336</v>
      </c>
      <c r="Y315" s="32">
        <f t="shared" si="29"/>
        <v>122.40166666666664</v>
      </c>
    </row>
    <row r="316" spans="22:25">
      <c r="V316" s="1">
        <f t="shared" si="26"/>
        <v>392</v>
      </c>
      <c r="W316" s="32">
        <f t="shared" si="27"/>
        <v>270.77333333333331</v>
      </c>
      <c r="X316" s="25">
        <f t="shared" si="28"/>
        <v>268.69333333333333</v>
      </c>
      <c r="Y316" s="32">
        <f t="shared" si="29"/>
        <v>123.30666666666667</v>
      </c>
    </row>
    <row r="317" spans="22:25">
      <c r="V317" s="1">
        <f t="shared" si="26"/>
        <v>393</v>
      </c>
      <c r="W317" s="32">
        <f t="shared" si="27"/>
        <v>269.13999999999965</v>
      </c>
      <c r="X317" s="25">
        <f t="shared" si="28"/>
        <v>268.78499999999997</v>
      </c>
      <c r="Y317" s="32">
        <f t="shared" si="29"/>
        <v>124.21500000000003</v>
      </c>
    </row>
    <row r="318" spans="22:25">
      <c r="V318" s="1">
        <f t="shared" si="26"/>
        <v>394</v>
      </c>
      <c r="W318" s="32">
        <f t="shared" si="27"/>
        <v>267.49333333333357</v>
      </c>
      <c r="X318" s="25">
        <f t="shared" si="28"/>
        <v>268.87333333333333</v>
      </c>
      <c r="Y318" s="32">
        <f t="shared" si="29"/>
        <v>125.12666666666667</v>
      </c>
    </row>
    <row r="319" spans="22:25">
      <c r="V319" s="1">
        <f t="shared" si="26"/>
        <v>395</v>
      </c>
      <c r="W319" s="32">
        <f t="shared" si="27"/>
        <v>265.83333333333326</v>
      </c>
      <c r="X319" s="25">
        <f t="shared" si="28"/>
        <v>268.95833333333331</v>
      </c>
      <c r="Y319" s="32">
        <f t="shared" si="29"/>
        <v>126.04166666666669</v>
      </c>
    </row>
    <row r="320" spans="22:25">
      <c r="V320" s="1">
        <f t="shared" si="26"/>
        <v>396</v>
      </c>
      <c r="W320" s="32">
        <f t="shared" si="27"/>
        <v>264.16000000000008</v>
      </c>
      <c r="X320" s="25">
        <f t="shared" si="28"/>
        <v>269.04000000000002</v>
      </c>
      <c r="Y320" s="32">
        <f t="shared" si="29"/>
        <v>126.95999999999998</v>
      </c>
    </row>
    <row r="321" spans="22:25">
      <c r="V321" s="1">
        <f t="shared" si="26"/>
        <v>397</v>
      </c>
      <c r="W321" s="32">
        <f t="shared" si="27"/>
        <v>262.47333333333336</v>
      </c>
      <c r="X321" s="25">
        <f t="shared" si="28"/>
        <v>269.11833333333334</v>
      </c>
      <c r="Y321" s="32">
        <f t="shared" si="29"/>
        <v>127.88166666666666</v>
      </c>
    </row>
    <row r="322" spans="22:25">
      <c r="V322" s="1">
        <f t="shared" si="26"/>
        <v>398</v>
      </c>
      <c r="W322" s="32">
        <f t="shared" si="27"/>
        <v>260.77333333333331</v>
      </c>
      <c r="X322" s="25">
        <f t="shared" si="28"/>
        <v>269.19333333333333</v>
      </c>
      <c r="Y322" s="32">
        <f t="shared" si="29"/>
        <v>128.80666666666667</v>
      </c>
    </row>
    <row r="323" spans="22:25">
      <c r="V323" s="1">
        <f t="shared" si="26"/>
        <v>399</v>
      </c>
      <c r="W323" s="32">
        <f t="shared" si="27"/>
        <v>259.05999999999972</v>
      </c>
      <c r="X323" s="25">
        <f t="shared" si="28"/>
        <v>269.26499999999999</v>
      </c>
      <c r="Y323" s="32">
        <f t="shared" si="29"/>
        <v>129.73500000000001</v>
      </c>
    </row>
    <row r="324" spans="22:25">
      <c r="V324" s="1">
        <f t="shared" si="26"/>
        <v>400</v>
      </c>
      <c r="W324" s="32">
        <f t="shared" si="27"/>
        <v>257.33333333333326</v>
      </c>
      <c r="X324" s="25">
        <f t="shared" si="28"/>
        <v>269.33333333333331</v>
      </c>
      <c r="Y324" s="32">
        <f t="shared" si="29"/>
        <v>130.66666666666669</v>
      </c>
    </row>
    <row r="325" spans="22:25">
      <c r="V325" s="1">
        <f t="shared" si="26"/>
        <v>401</v>
      </c>
      <c r="W325" s="32">
        <f t="shared" si="27"/>
        <v>255.59333333333325</v>
      </c>
      <c r="X325" s="25">
        <f t="shared" si="28"/>
        <v>269.39833333333331</v>
      </c>
      <c r="Y325" s="32">
        <f t="shared" si="29"/>
        <v>131.60166666666669</v>
      </c>
    </row>
    <row r="326" spans="22:25">
      <c r="V326" s="1">
        <f t="shared" si="26"/>
        <v>402</v>
      </c>
      <c r="W326" s="32">
        <f t="shared" si="27"/>
        <v>253.83999999999992</v>
      </c>
      <c r="X326" s="25">
        <f t="shared" si="28"/>
        <v>269.45999999999998</v>
      </c>
      <c r="Y326" s="32">
        <f t="shared" si="29"/>
        <v>132.54000000000002</v>
      </c>
    </row>
    <row r="327" spans="22:25">
      <c r="V327" s="1">
        <f t="shared" si="26"/>
        <v>403</v>
      </c>
      <c r="W327" s="32">
        <f t="shared" si="27"/>
        <v>252.07333333333349</v>
      </c>
      <c r="X327" s="25">
        <f t="shared" si="28"/>
        <v>269.51833333333332</v>
      </c>
      <c r="Y327" s="32">
        <f t="shared" si="29"/>
        <v>133.48166666666668</v>
      </c>
    </row>
    <row r="328" spans="22:25">
      <c r="V328" s="1">
        <f t="shared" si="26"/>
        <v>404</v>
      </c>
      <c r="W328" s="32">
        <f t="shared" si="27"/>
        <v>250.29333333333329</v>
      </c>
      <c r="X328" s="25">
        <f t="shared" si="28"/>
        <v>269.57333333333332</v>
      </c>
      <c r="Y328" s="32">
        <f t="shared" si="29"/>
        <v>134.42666666666668</v>
      </c>
    </row>
    <row r="329" spans="22:25">
      <c r="V329" s="1">
        <f t="shared" si="26"/>
        <v>405</v>
      </c>
      <c r="W329" s="32">
        <f t="shared" si="27"/>
        <v>248.5</v>
      </c>
      <c r="X329" s="25">
        <f t="shared" si="28"/>
        <v>269.625</v>
      </c>
      <c r="Y329" s="32">
        <f t="shared" si="29"/>
        <v>135.375</v>
      </c>
    </row>
    <row r="330" spans="22:25">
      <c r="V330" s="1">
        <f t="shared" si="26"/>
        <v>406</v>
      </c>
      <c r="W330" s="32">
        <f t="shared" si="27"/>
        <v>246.69333333333338</v>
      </c>
      <c r="X330" s="25">
        <f t="shared" si="28"/>
        <v>269.67333333333335</v>
      </c>
      <c r="Y330" s="32">
        <f t="shared" si="29"/>
        <v>136.32666666666665</v>
      </c>
    </row>
    <row r="331" spans="22:25">
      <c r="V331" s="1">
        <f t="shared" si="26"/>
        <v>407</v>
      </c>
      <c r="W331" s="32">
        <f t="shared" si="27"/>
        <v>244.87333333333322</v>
      </c>
      <c r="X331" s="25">
        <f t="shared" si="28"/>
        <v>269.71833333333336</v>
      </c>
      <c r="Y331" s="32">
        <f t="shared" si="29"/>
        <v>137.28166666666664</v>
      </c>
    </row>
    <row r="332" spans="22:25">
      <c r="V332" s="1">
        <f t="shared" ref="V332:V344" si="30">V331+1</f>
        <v>408</v>
      </c>
      <c r="W332" s="32">
        <f t="shared" si="27"/>
        <v>243.03999999999996</v>
      </c>
      <c r="X332" s="25">
        <f t="shared" si="28"/>
        <v>269.76</v>
      </c>
      <c r="Y332" s="32">
        <f t="shared" si="29"/>
        <v>138.24</v>
      </c>
    </row>
    <row r="333" spans="22:25">
      <c r="V333" s="1">
        <f t="shared" si="30"/>
        <v>409</v>
      </c>
      <c r="W333" s="32">
        <f t="shared" si="27"/>
        <v>241.19333333333338</v>
      </c>
      <c r="X333" s="25">
        <f t="shared" si="28"/>
        <v>269.79833333333335</v>
      </c>
      <c r="Y333" s="32">
        <f t="shared" si="29"/>
        <v>139.20166666666665</v>
      </c>
    </row>
    <row r="334" spans="22:25">
      <c r="V334" s="1">
        <f t="shared" si="30"/>
        <v>410</v>
      </c>
      <c r="W334" s="32">
        <f t="shared" si="27"/>
        <v>239.33333333333371</v>
      </c>
      <c r="X334" s="25">
        <f t="shared" si="28"/>
        <v>269.83333333333337</v>
      </c>
      <c r="Y334" s="32">
        <f t="shared" si="29"/>
        <v>140.16666666666663</v>
      </c>
    </row>
    <row r="335" spans="22:25">
      <c r="V335" s="1">
        <f t="shared" si="30"/>
        <v>411</v>
      </c>
      <c r="W335" s="32">
        <f t="shared" si="27"/>
        <v>237.46000000000004</v>
      </c>
      <c r="X335" s="25">
        <f t="shared" si="28"/>
        <v>269.86500000000001</v>
      </c>
      <c r="Y335" s="32">
        <f t="shared" si="29"/>
        <v>141.13499999999999</v>
      </c>
    </row>
    <row r="336" spans="22:25">
      <c r="V336" s="1">
        <f t="shared" si="30"/>
        <v>412</v>
      </c>
      <c r="W336" s="32">
        <f t="shared" si="27"/>
        <v>235.57333333333349</v>
      </c>
      <c r="X336" s="25">
        <f t="shared" si="28"/>
        <v>269.89333333333337</v>
      </c>
      <c r="Y336" s="32">
        <f t="shared" si="29"/>
        <v>142.10666666666663</v>
      </c>
    </row>
    <row r="337" spans="22:25">
      <c r="V337" s="1">
        <f t="shared" si="30"/>
        <v>413</v>
      </c>
      <c r="W337" s="32">
        <f t="shared" si="27"/>
        <v>233.6733333333334</v>
      </c>
      <c r="X337" s="25">
        <f t="shared" si="28"/>
        <v>269.91833333333335</v>
      </c>
      <c r="Y337" s="32">
        <f t="shared" si="29"/>
        <v>143.08166666666665</v>
      </c>
    </row>
    <row r="338" spans="22:25">
      <c r="V338" s="1">
        <f t="shared" si="30"/>
        <v>414</v>
      </c>
      <c r="W338" s="32">
        <f t="shared" si="27"/>
        <v>231.76</v>
      </c>
      <c r="X338" s="25">
        <f t="shared" si="28"/>
        <v>269.94</v>
      </c>
      <c r="Y338" s="32">
        <f t="shared" si="29"/>
        <v>144.06</v>
      </c>
    </row>
    <row r="339" spans="22:25">
      <c r="V339" s="1">
        <f t="shared" si="30"/>
        <v>415</v>
      </c>
      <c r="W339" s="32">
        <f t="shared" si="27"/>
        <v>229.83333333333371</v>
      </c>
      <c r="X339" s="25">
        <f t="shared" si="28"/>
        <v>269.95833333333337</v>
      </c>
      <c r="Y339" s="32">
        <f t="shared" si="29"/>
        <v>145.04166666666663</v>
      </c>
    </row>
    <row r="340" spans="22:25">
      <c r="V340" s="1">
        <f t="shared" si="30"/>
        <v>416</v>
      </c>
      <c r="W340" s="32">
        <f t="shared" si="27"/>
        <v>227.89333333333343</v>
      </c>
      <c r="X340" s="25">
        <f t="shared" si="28"/>
        <v>269.97333333333336</v>
      </c>
      <c r="Y340" s="32">
        <f t="shared" si="29"/>
        <v>146.02666666666664</v>
      </c>
    </row>
    <row r="341" spans="22:25">
      <c r="V341" s="1">
        <f t="shared" si="30"/>
        <v>417</v>
      </c>
      <c r="W341" s="32">
        <f t="shared" si="27"/>
        <v>225.94000000000028</v>
      </c>
      <c r="X341" s="25">
        <f t="shared" si="28"/>
        <v>269.98500000000001</v>
      </c>
      <c r="Y341" s="32">
        <f t="shared" si="29"/>
        <v>147.01499999999999</v>
      </c>
    </row>
    <row r="342" spans="22:25">
      <c r="V342" s="1">
        <f t="shared" si="30"/>
        <v>418</v>
      </c>
      <c r="W342" s="32">
        <f t="shared" si="27"/>
        <v>223.97333333333336</v>
      </c>
      <c r="X342" s="25">
        <f t="shared" si="28"/>
        <v>269.99333333333334</v>
      </c>
      <c r="Y342" s="32">
        <f t="shared" si="29"/>
        <v>148.00666666666666</v>
      </c>
    </row>
    <row r="343" spans="22:25">
      <c r="V343" s="1">
        <f t="shared" si="30"/>
        <v>419</v>
      </c>
      <c r="W343" s="32">
        <f t="shared" si="27"/>
        <v>221.99333333333357</v>
      </c>
      <c r="X343" s="25">
        <f t="shared" si="28"/>
        <v>269.99833333333333</v>
      </c>
      <c r="Y343" s="32">
        <f t="shared" si="29"/>
        <v>149.00166666666667</v>
      </c>
    </row>
    <row r="344" spans="22:25">
      <c r="V344" s="1">
        <f t="shared" si="30"/>
        <v>420</v>
      </c>
      <c r="W344" s="32">
        <f t="shared" si="27"/>
        <v>220</v>
      </c>
      <c r="X344" s="25">
        <f t="shared" si="28"/>
        <v>270</v>
      </c>
      <c r="Y344" s="32">
        <f t="shared" si="29"/>
        <v>150</v>
      </c>
    </row>
    <row r="345" spans="22:25">
      <c r="W345" s="32"/>
      <c r="X345" s="25"/>
      <c r="Y345" s="32"/>
    </row>
    <row r="346" spans="22:25">
      <c r="W346" s="32"/>
      <c r="X346" s="25"/>
      <c r="Y346" s="32"/>
    </row>
    <row r="347" spans="22:25">
      <c r="W347" s="32"/>
      <c r="X347" s="25"/>
      <c r="Y347" s="32"/>
    </row>
    <row r="348" spans="22:25">
      <c r="W348" s="32"/>
      <c r="X348" s="25"/>
      <c r="Y348" s="32"/>
    </row>
    <row r="349" spans="22:25">
      <c r="W349" s="32"/>
      <c r="X349" s="25"/>
      <c r="Y349" s="32"/>
    </row>
    <row r="350" spans="22:25">
      <c r="W350" s="32"/>
      <c r="X350" s="25"/>
      <c r="Y350" s="32"/>
    </row>
    <row r="351" spans="22:25">
      <c r="W351" s="32"/>
      <c r="X351" s="25"/>
      <c r="Y351" s="32"/>
    </row>
    <row r="352" spans="22:25">
      <c r="W352" s="32"/>
      <c r="X352" s="25"/>
      <c r="Y352" s="32"/>
    </row>
    <row r="353" spans="23:25">
      <c r="W353" s="32"/>
      <c r="X353" s="25"/>
      <c r="Y353" s="32"/>
    </row>
    <row r="354" spans="23:25">
      <c r="W354" s="32"/>
      <c r="X354" s="25"/>
      <c r="Y354" s="32"/>
    </row>
    <row r="355" spans="23:25">
      <c r="W355" s="32"/>
      <c r="X355" s="25"/>
      <c r="Y355" s="32"/>
    </row>
    <row r="356" spans="23:25">
      <c r="W356" s="32"/>
      <c r="X356" s="25"/>
      <c r="Y356" s="32"/>
    </row>
    <row r="357" spans="23:25">
      <c r="W357" s="32"/>
      <c r="X357" s="25"/>
      <c r="Y357" s="32"/>
    </row>
    <row r="358" spans="23:25">
      <c r="W358" s="32"/>
      <c r="X358" s="25"/>
      <c r="Y358" s="32"/>
    </row>
    <row r="359" spans="23:25">
      <c r="W359" s="32"/>
      <c r="X359" s="25"/>
      <c r="Y359" s="32"/>
    </row>
    <row r="360" spans="23:25">
      <c r="W360" s="32"/>
      <c r="X360" s="25"/>
      <c r="Y360" s="32"/>
    </row>
    <row r="361" spans="23:25">
      <c r="W361" s="32"/>
      <c r="X361" s="25"/>
      <c r="Y361" s="32"/>
    </row>
    <row r="362" spans="23:25">
      <c r="W362" s="32"/>
      <c r="X362" s="25"/>
      <c r="Y362" s="32"/>
    </row>
    <row r="363" spans="23:25">
      <c r="W363" s="32"/>
      <c r="X363" s="25"/>
      <c r="Y363" s="32"/>
    </row>
    <row r="364" spans="23:25">
      <c r="W364" s="32"/>
      <c r="X364" s="25"/>
      <c r="Y364" s="32"/>
    </row>
    <row r="365" spans="23:25">
      <c r="W365" s="25"/>
    </row>
    <row r="366" spans="23:25">
      <c r="W366" s="25"/>
    </row>
    <row r="367" spans="23:25">
      <c r="W367" s="25"/>
    </row>
    <row r="368" spans="23:25">
      <c r="W368" s="25"/>
    </row>
    <row r="369" spans="23:23">
      <c r="W369" s="25"/>
    </row>
    <row r="370" spans="23:23">
      <c r="W370" s="25"/>
    </row>
    <row r="371" spans="23:23">
      <c r="W371" s="25"/>
    </row>
    <row r="372" spans="23:23">
      <c r="W372" s="25"/>
    </row>
    <row r="373" spans="23:23">
      <c r="W373" s="25"/>
    </row>
    <row r="374" spans="23:23">
      <c r="W374" s="25"/>
    </row>
    <row r="375" spans="23:23">
      <c r="W375" s="25"/>
    </row>
    <row r="376" spans="23:23">
      <c r="W376" s="25"/>
    </row>
    <row r="377" spans="23:23">
      <c r="W377" s="25"/>
    </row>
    <row r="378" spans="23:23">
      <c r="W378" s="25"/>
    </row>
    <row r="379" spans="23:23">
      <c r="W379" s="25"/>
    </row>
    <row r="380" spans="23:23">
      <c r="W380" s="25"/>
    </row>
    <row r="381" spans="23:23">
      <c r="W381" s="25"/>
    </row>
    <row r="382" spans="23:23">
      <c r="W382" s="25"/>
    </row>
    <row r="383" spans="23:23">
      <c r="W383" s="25"/>
    </row>
    <row r="384" spans="23:23">
      <c r="W384" s="25"/>
    </row>
  </sheetData>
  <sheetProtection sheet="1" objects="1" scenarios="1"/>
  <mergeCells count="1">
    <mergeCell ref="C7:C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B64E-1AF6-8E40-B1DD-DBA465B21DE6}">
  <sheetPr codeName="Sheet7"/>
  <dimension ref="B4:W34"/>
  <sheetViews>
    <sheetView workbookViewId="0">
      <selection activeCell="V10" sqref="V10"/>
    </sheetView>
  </sheetViews>
  <sheetFormatPr defaultColWidth="10.875" defaultRowHeight="15"/>
  <cols>
    <col min="1" max="5" width="10.875" style="1"/>
    <col min="6" max="6" width="12.375" style="1" customWidth="1"/>
    <col min="7" max="10" width="10.875" style="1"/>
    <col min="11" max="11" width="18.375" style="1" customWidth="1"/>
    <col min="12" max="19" width="10.875" style="1"/>
    <col min="20" max="20" width="16.125" style="1" bestFit="1" customWidth="1"/>
    <col min="21" max="22" width="14.625" style="1" customWidth="1"/>
    <col min="23" max="16384" width="10.875" style="1"/>
  </cols>
  <sheetData>
    <row r="4" spans="2:23">
      <c r="B4" s="38"/>
      <c r="C4" s="39"/>
      <c r="E4" s="30" t="s">
        <v>75</v>
      </c>
      <c r="F4" s="38"/>
      <c r="H4" s="38"/>
      <c r="K4" s="38"/>
      <c r="L4" s="39"/>
      <c r="M4" s="39"/>
      <c r="S4" s="38"/>
      <c r="T4" s="35" t="s">
        <v>84</v>
      </c>
      <c r="U4" s="35" t="s">
        <v>88</v>
      </c>
      <c r="V4" s="39" t="s">
        <v>89</v>
      </c>
      <c r="W4" s="1" t="s">
        <v>36</v>
      </c>
    </row>
    <row r="5" spans="2:23">
      <c r="B5" s="30" t="s">
        <v>70</v>
      </c>
      <c r="C5" s="35" t="s">
        <v>74</v>
      </c>
      <c r="E5" s="30" t="s">
        <v>76</v>
      </c>
      <c r="F5" s="38"/>
      <c r="G5" s="1" t="s">
        <v>77</v>
      </c>
      <c r="H5" s="38"/>
      <c r="I5" s="1" t="s">
        <v>78</v>
      </c>
      <c r="K5" s="38"/>
      <c r="L5" s="35" t="s">
        <v>80</v>
      </c>
      <c r="M5" s="35" t="s">
        <v>82</v>
      </c>
      <c r="N5" s="92" t="s">
        <v>83</v>
      </c>
      <c r="O5" s="91"/>
      <c r="P5" s="91"/>
      <c r="Q5" s="91"/>
      <c r="R5" s="91"/>
      <c r="S5" s="93"/>
      <c r="T5" s="35"/>
      <c r="U5" s="35"/>
      <c r="V5" s="39"/>
    </row>
    <row r="6" spans="2:23">
      <c r="B6" s="30" t="s">
        <v>71</v>
      </c>
      <c r="C6" s="36">
        <v>3</v>
      </c>
      <c r="E6" s="30">
        <f>'1and2'!C23</f>
        <v>270</v>
      </c>
      <c r="F6" s="38"/>
      <c r="G6" s="1">
        <f>'1and2'!C40</f>
        <v>300</v>
      </c>
      <c r="H6" s="38"/>
      <c r="I6" s="1" t="s">
        <v>79</v>
      </c>
      <c r="K6" s="38"/>
      <c r="L6" s="35" t="s">
        <v>81</v>
      </c>
      <c r="M6" s="36">
        <f>(199*3+G25)*-1</f>
        <v>-617</v>
      </c>
      <c r="N6" s="41"/>
      <c r="S6" s="42">
        <f>(199^2-120^2)/(2*300)+((420-199)*199)/300</f>
        <v>188.59833333333333</v>
      </c>
      <c r="T6" s="40">
        <f>199-S6</f>
        <v>10.401666666666671</v>
      </c>
      <c r="U6" s="37">
        <f>T6*$G$23*C6</f>
        <v>15.602500000000006</v>
      </c>
      <c r="V6" s="43">
        <f>T6*$G$24*-1</f>
        <v>-5.2008333333333354</v>
      </c>
      <c r="W6" s="2">
        <f>S6*$G$22+V6+U6+M6</f>
        <v>336.39333333333332</v>
      </c>
    </row>
    <row r="7" spans="2:23">
      <c r="B7" s="30"/>
      <c r="C7" s="36"/>
      <c r="E7" s="30"/>
      <c r="F7" s="38"/>
      <c r="H7" s="38"/>
      <c r="K7" s="38"/>
      <c r="L7" s="35"/>
      <c r="M7" s="36"/>
      <c r="N7" s="41"/>
      <c r="S7" s="42"/>
      <c r="T7" s="40"/>
      <c r="U7" s="35"/>
      <c r="V7" s="39"/>
      <c r="W7" s="2"/>
    </row>
    <row r="8" spans="2:23">
      <c r="B8" s="30" t="s">
        <v>72</v>
      </c>
      <c r="C8" s="37">
        <v>2.85</v>
      </c>
      <c r="E8" s="34">
        <f>F34</f>
        <v>278.28220858895702</v>
      </c>
      <c r="F8" s="38"/>
      <c r="H8" s="38"/>
      <c r="I8" s="1" t="s">
        <v>86</v>
      </c>
      <c r="K8" s="38"/>
      <c r="L8" s="40" t="str">
        <f>TEXT(E8,"0.00") &amp; "  units"</f>
        <v>278.28  units</v>
      </c>
      <c r="M8" s="36">
        <f>(E8*C8+20)*-1</f>
        <v>-813.10429447852755</v>
      </c>
      <c r="N8" s="41"/>
      <c r="S8" s="42">
        <f>(278.28^2-120^2)/(2*300)+((420-278.28)*278.28)/300</f>
        <v>236.52573600000002</v>
      </c>
      <c r="T8" s="40">
        <f>278-S8</f>
        <v>41.474263999999977</v>
      </c>
      <c r="U8" s="37">
        <f>T8*$G$23*C8</f>
        <v>59.100826199999972</v>
      </c>
      <c r="V8" s="43">
        <f>T8*$G$24*-1</f>
        <v>-20.737131999999988</v>
      </c>
      <c r="W8" s="2">
        <f>S8*$G$22+V8+U8+M8</f>
        <v>407.88807972147254</v>
      </c>
    </row>
    <row r="9" spans="2:23">
      <c r="B9" s="30"/>
      <c r="C9" s="37"/>
      <c r="E9" s="34"/>
      <c r="F9" s="38"/>
      <c r="H9" s="38"/>
      <c r="K9" s="38"/>
      <c r="L9" s="40"/>
      <c r="M9" s="36"/>
      <c r="N9" s="41"/>
      <c r="S9" s="42"/>
      <c r="T9" s="40"/>
      <c r="U9" s="35"/>
      <c r="V9" s="39"/>
      <c r="W9" s="2"/>
    </row>
    <row r="10" spans="2:23">
      <c r="B10" s="30" t="s">
        <v>73</v>
      </c>
      <c r="C10" s="37">
        <v>2.7</v>
      </c>
      <c r="E10" s="34">
        <f>L34</f>
        <v>286.26506024096386</v>
      </c>
      <c r="F10" s="38"/>
      <c r="H10" s="38"/>
      <c r="I10" s="1" t="s">
        <v>87</v>
      </c>
      <c r="K10" s="38"/>
      <c r="L10" s="35">
        <v>400</v>
      </c>
      <c r="M10" s="36">
        <f>(E10*C10+20)*-1</f>
        <v>-792.91566265060248</v>
      </c>
      <c r="N10" s="41"/>
      <c r="S10" s="42">
        <f>(400^2-120^2)/(2*300)+((420-400)*400)/300</f>
        <v>269.33333333333331</v>
      </c>
      <c r="T10" s="40">
        <f>400-S10</f>
        <v>130.66666666666669</v>
      </c>
      <c r="U10" s="37">
        <f>T10*$G$23*C10</f>
        <v>176.40000000000003</v>
      </c>
      <c r="V10" s="43">
        <f>T10*$G$24*-1</f>
        <v>-65.333333333333343</v>
      </c>
      <c r="W10" s="2">
        <f>S10*$G$22+V10+U10+M10</f>
        <v>664.81767068273086</v>
      </c>
    </row>
    <row r="11" spans="2:23">
      <c r="M11" s="30"/>
    </row>
    <row r="17" spans="5:15" ht="18">
      <c r="E17" s="4" t="s">
        <v>0</v>
      </c>
      <c r="F17" s="4"/>
      <c r="G17" s="4"/>
      <c r="H17" s="4"/>
      <c r="I17" s="4"/>
      <c r="K17" s="4" t="s">
        <v>0</v>
      </c>
      <c r="L17" s="4"/>
      <c r="M17" s="4"/>
      <c r="N17" s="4"/>
      <c r="O17" s="4"/>
    </row>
    <row r="18" spans="5:15" ht="18">
      <c r="E18" s="4"/>
      <c r="F18" s="8" t="s">
        <v>1</v>
      </c>
      <c r="G18" s="9">
        <v>120</v>
      </c>
      <c r="H18" s="9">
        <v>420</v>
      </c>
      <c r="I18" s="4"/>
      <c r="K18" s="4"/>
      <c r="L18" s="8" t="s">
        <v>1</v>
      </c>
      <c r="M18" s="9">
        <v>120</v>
      </c>
      <c r="N18" s="9">
        <v>420</v>
      </c>
      <c r="O18" s="4"/>
    </row>
    <row r="19" spans="5:15" ht="18">
      <c r="E19" s="4"/>
      <c r="F19" s="8" t="s">
        <v>2</v>
      </c>
      <c r="G19" s="9">
        <f>AVERAGE(G18:H18)</f>
        <v>270</v>
      </c>
      <c r="H19" s="9"/>
      <c r="I19" s="4"/>
      <c r="K19" s="4"/>
      <c r="L19" s="8" t="s">
        <v>2</v>
      </c>
      <c r="M19" s="9">
        <f>AVERAGE(M18:N18)</f>
        <v>270</v>
      </c>
      <c r="N19" s="9"/>
      <c r="O19" s="4"/>
    </row>
    <row r="20" spans="5:15" ht="18">
      <c r="E20" s="4"/>
      <c r="F20" s="8"/>
      <c r="G20" s="9"/>
      <c r="H20" s="9"/>
      <c r="I20" s="4"/>
      <c r="K20" s="4"/>
      <c r="L20" s="8"/>
      <c r="M20" s="9"/>
      <c r="N20" s="9"/>
      <c r="O20" s="4"/>
    </row>
    <row r="21" spans="5:15" ht="18">
      <c r="E21" s="4"/>
      <c r="F21" s="8" t="s">
        <v>3</v>
      </c>
      <c r="G21" s="11">
        <f>C8</f>
        <v>2.85</v>
      </c>
      <c r="H21" s="9"/>
      <c r="I21" s="4"/>
      <c r="K21" s="4"/>
      <c r="L21" s="8" t="s">
        <v>3</v>
      </c>
      <c r="M21" s="11">
        <f>C10</f>
        <v>2.7</v>
      </c>
      <c r="N21" s="9"/>
      <c r="O21" s="4"/>
    </row>
    <row r="22" spans="5:15" ht="18">
      <c r="E22" s="4"/>
      <c r="F22" s="8" t="s">
        <v>4</v>
      </c>
      <c r="G22" s="10">
        <v>5</v>
      </c>
      <c r="H22" s="9"/>
      <c r="I22" s="4"/>
      <c r="K22" s="4"/>
      <c r="L22" s="8" t="s">
        <v>4</v>
      </c>
      <c r="M22" s="10">
        <v>5</v>
      </c>
      <c r="N22" s="9"/>
      <c r="O22" s="4"/>
    </row>
    <row r="23" spans="5:15" ht="18">
      <c r="E23" s="4"/>
      <c r="F23" s="8" t="s">
        <v>6</v>
      </c>
      <c r="G23" s="9">
        <v>0.5</v>
      </c>
      <c r="H23" s="9" t="s">
        <v>7</v>
      </c>
      <c r="I23" s="4"/>
      <c r="K23" s="4"/>
      <c r="L23" s="8" t="s">
        <v>6</v>
      </c>
      <c r="M23" s="9">
        <v>0.5</v>
      </c>
      <c r="N23" s="9" t="s">
        <v>7</v>
      </c>
      <c r="O23" s="4"/>
    </row>
    <row r="24" spans="5:15" ht="18">
      <c r="E24" s="4"/>
      <c r="F24" s="8" t="s">
        <v>8</v>
      </c>
      <c r="G24" s="11">
        <v>0.5</v>
      </c>
      <c r="H24" s="9" t="s">
        <v>9</v>
      </c>
      <c r="I24" s="4"/>
      <c r="K24" s="4"/>
      <c r="L24" s="8" t="s">
        <v>8</v>
      </c>
      <c r="M24" s="11">
        <v>0.5</v>
      </c>
      <c r="N24" s="9" t="s">
        <v>9</v>
      </c>
      <c r="O24" s="4"/>
    </row>
    <row r="25" spans="5:15" ht="18">
      <c r="E25" s="4"/>
      <c r="F25" s="8" t="s">
        <v>10</v>
      </c>
      <c r="G25" s="10">
        <v>20</v>
      </c>
      <c r="H25" s="9" t="s">
        <v>11</v>
      </c>
      <c r="I25" s="4"/>
      <c r="K25" s="4"/>
      <c r="L25" s="8" t="s">
        <v>10</v>
      </c>
      <c r="M25" s="10">
        <v>20</v>
      </c>
      <c r="N25" s="9" t="s">
        <v>11</v>
      </c>
      <c r="O25" s="4"/>
    </row>
    <row r="26" spans="5:15" ht="18">
      <c r="E26" s="4"/>
      <c r="F26" s="8" t="s">
        <v>12</v>
      </c>
      <c r="G26" s="10">
        <v>40000</v>
      </c>
      <c r="H26" s="4"/>
      <c r="I26" s="4"/>
      <c r="K26" s="4"/>
      <c r="L26" s="8" t="s">
        <v>12</v>
      </c>
      <c r="M26" s="10">
        <v>40000</v>
      </c>
      <c r="N26" s="4"/>
      <c r="O26" s="4"/>
    </row>
    <row r="27" spans="5:15" ht="18">
      <c r="E27" s="4"/>
      <c r="F27" s="4"/>
      <c r="G27" s="4"/>
      <c r="H27" s="4"/>
      <c r="I27" s="4"/>
      <c r="K27" s="4"/>
      <c r="L27" s="4"/>
      <c r="M27" s="4"/>
      <c r="N27" s="4"/>
      <c r="O27" s="4"/>
    </row>
    <row r="28" spans="5:15" ht="18">
      <c r="E28" s="4"/>
      <c r="F28" s="4"/>
      <c r="G28" s="4"/>
      <c r="H28" s="4"/>
      <c r="I28" s="4"/>
      <c r="K28" s="4"/>
      <c r="L28" s="4"/>
      <c r="M28" s="4"/>
      <c r="N28" s="4"/>
      <c r="O28" s="4"/>
    </row>
    <row r="29" spans="5:15" ht="18">
      <c r="E29" s="4" t="s">
        <v>13</v>
      </c>
      <c r="F29" s="4"/>
      <c r="G29" s="4"/>
      <c r="H29" s="4"/>
      <c r="I29" s="4"/>
      <c r="K29" s="4" t="s">
        <v>13</v>
      </c>
      <c r="L29" s="4"/>
      <c r="M29" s="4"/>
      <c r="N29" s="4"/>
      <c r="O29" s="4"/>
    </row>
    <row r="30" spans="5:15" ht="18">
      <c r="E30" s="8" t="s">
        <v>14</v>
      </c>
      <c r="F30" s="4" t="s">
        <v>85</v>
      </c>
      <c r="G30" s="5">
        <f>G21-0.5*G21+0.5</f>
        <v>1.925</v>
      </c>
      <c r="H30" s="4"/>
      <c r="I30" s="4"/>
      <c r="K30" s="8" t="s">
        <v>14</v>
      </c>
      <c r="L30" s="4" t="s">
        <v>85</v>
      </c>
      <c r="M30" s="5">
        <f>M21-0.5*M21+0.5</f>
        <v>1.85</v>
      </c>
      <c r="N30" s="4"/>
      <c r="O30" s="4"/>
    </row>
    <row r="31" spans="5:15" ht="18">
      <c r="E31" s="8" t="s">
        <v>16</v>
      </c>
      <c r="F31" s="6" t="s">
        <v>17</v>
      </c>
      <c r="G31" s="5">
        <f>5-G21</f>
        <v>2.15</v>
      </c>
      <c r="H31" s="4"/>
      <c r="I31" s="4"/>
      <c r="K31" s="8" t="s">
        <v>16</v>
      </c>
      <c r="L31" s="6" t="s">
        <v>17</v>
      </c>
      <c r="M31" s="5">
        <f>5-M21</f>
        <v>2.2999999999999998</v>
      </c>
      <c r="N31" s="4"/>
      <c r="O31" s="4"/>
    </row>
    <row r="32" spans="5:15" ht="18">
      <c r="E32" s="8" t="s">
        <v>18</v>
      </c>
      <c r="F32" s="4" t="s">
        <v>19</v>
      </c>
      <c r="G32" s="12">
        <f>G31/(G31+G30)</f>
        <v>0.52760736196319014</v>
      </c>
      <c r="H32" s="4"/>
      <c r="I32" s="4"/>
      <c r="K32" s="8" t="s">
        <v>18</v>
      </c>
      <c r="L32" s="4" t="s">
        <v>19</v>
      </c>
      <c r="M32" s="12">
        <f>M31/(M31+M30)</f>
        <v>0.55421686746987942</v>
      </c>
      <c r="N32" s="4"/>
      <c r="O32" s="4"/>
    </row>
    <row r="33" spans="5:15" ht="18">
      <c r="E33" s="4"/>
      <c r="F33" s="4"/>
      <c r="G33" s="4"/>
      <c r="H33" s="4"/>
      <c r="I33" s="4"/>
      <c r="K33" s="4"/>
      <c r="L33" s="4"/>
      <c r="M33" s="4"/>
      <c r="N33" s="4"/>
      <c r="O33" s="4"/>
    </row>
    <row r="34" spans="5:15" ht="21">
      <c r="E34" s="4" t="s">
        <v>50</v>
      </c>
      <c r="F34" s="31">
        <f>G32*(420-120)+120</f>
        <v>278.28220858895702</v>
      </c>
      <c r="G34" s="4"/>
      <c r="H34" s="4"/>
      <c r="I34" s="4"/>
      <c r="K34" s="4" t="s">
        <v>50</v>
      </c>
      <c r="L34" s="31">
        <f>M32*(420-120)+120</f>
        <v>286.26506024096386</v>
      </c>
      <c r="M34" s="4"/>
      <c r="N34" s="4"/>
      <c r="O34" s="4"/>
    </row>
  </sheetData>
  <sheetProtection sheet="1" objects="1" scenarios="1"/>
  <mergeCells count="1">
    <mergeCell ref="N5:S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A357-D10B-E141-8542-B3D720956EF1}">
  <sheetPr codeName="Sheet8"/>
  <dimension ref="A1:U83"/>
  <sheetViews>
    <sheetView topLeftCell="A60" zoomScale="73" zoomScaleNormal="73" workbookViewId="0">
      <selection activeCell="J47" sqref="J47"/>
    </sheetView>
  </sheetViews>
  <sheetFormatPr defaultColWidth="10.875" defaultRowHeight="15"/>
  <cols>
    <col min="1" max="2" width="10.875" style="46"/>
    <col min="3" max="4" width="10.875" style="1"/>
    <col min="5" max="5" width="13.625" style="1" customWidth="1"/>
    <col min="6" max="7" width="10.875" style="1"/>
    <col min="8" max="8" width="14" style="1" customWidth="1"/>
    <col min="9" max="9" width="24.375" style="1" customWidth="1"/>
    <col min="10" max="10" width="17.5" style="1" customWidth="1"/>
    <col min="11" max="11" width="19.375" style="1" customWidth="1"/>
    <col min="12" max="17" width="10.875" style="1"/>
    <col min="18" max="18" width="16.375" style="1" customWidth="1"/>
    <col min="19" max="16384" width="10.875" style="1"/>
  </cols>
  <sheetData>
    <row r="1" spans="1:14">
      <c r="F1" s="1" t="s">
        <v>99</v>
      </c>
      <c r="G1" s="1">
        <v>0.5</v>
      </c>
      <c r="H1" s="1" t="s">
        <v>101</v>
      </c>
    </row>
    <row r="2" spans="1:14">
      <c r="F2" s="1" t="s">
        <v>100</v>
      </c>
      <c r="G2" s="45">
        <v>0.5</v>
      </c>
    </row>
    <row r="3" spans="1:14">
      <c r="F3" s="1" t="s">
        <v>98</v>
      </c>
    </row>
    <row r="6" spans="1:14" ht="19.5">
      <c r="H6" s="46" t="s">
        <v>102</v>
      </c>
      <c r="I6" s="3">
        <v>3</v>
      </c>
    </row>
    <row r="7" spans="1:14" ht="19.5">
      <c r="H7" s="46" t="s">
        <v>105</v>
      </c>
      <c r="I7" s="3">
        <v>3.6</v>
      </c>
    </row>
    <row r="8" spans="1:14">
      <c r="H8" s="46" t="s">
        <v>103</v>
      </c>
      <c r="I8" s="2">
        <v>20</v>
      </c>
      <c r="J8" s="1" t="s">
        <v>104</v>
      </c>
    </row>
    <row r="9" spans="1:14">
      <c r="H9" s="46" t="s">
        <v>110</v>
      </c>
      <c r="I9" s="2">
        <v>5</v>
      </c>
      <c r="J9" s="1" t="s">
        <v>111</v>
      </c>
    </row>
    <row r="10" spans="1:14" ht="19.5">
      <c r="A10" s="46" t="s">
        <v>106</v>
      </c>
      <c r="E10" s="1" t="s">
        <v>241</v>
      </c>
      <c r="H10" s="46"/>
      <c r="I10" s="2" t="s">
        <v>242</v>
      </c>
    </row>
    <row r="11" spans="1:14">
      <c r="D11" s="30" t="s">
        <v>244</v>
      </c>
      <c r="G11" s="30" t="s">
        <v>152</v>
      </c>
      <c r="H11" s="30" t="s">
        <v>149</v>
      </c>
      <c r="I11" s="30" t="s">
        <v>153</v>
      </c>
      <c r="J11" s="30" t="s">
        <v>154</v>
      </c>
      <c r="L11" s="30" t="s">
        <v>150</v>
      </c>
      <c r="N11" s="1" t="s">
        <v>152</v>
      </c>
    </row>
    <row r="12" spans="1:14">
      <c r="G12" s="30" t="s">
        <v>156</v>
      </c>
      <c r="H12" s="30" t="s">
        <v>157</v>
      </c>
      <c r="I12" s="30" t="s">
        <v>158</v>
      </c>
      <c r="J12" s="30" t="s">
        <v>159</v>
      </c>
      <c r="L12" s="30" t="s">
        <v>160</v>
      </c>
      <c r="N12" s="1" t="s">
        <v>161</v>
      </c>
    </row>
    <row r="13" spans="1:14" ht="19.5">
      <c r="D13" s="1" t="s">
        <v>163</v>
      </c>
      <c r="E13" s="2" t="s">
        <v>248</v>
      </c>
      <c r="G13" s="30" t="s">
        <v>148</v>
      </c>
      <c r="H13" s="30" t="s">
        <v>243</v>
      </c>
      <c r="I13" s="30" t="s">
        <v>245</v>
      </c>
      <c r="J13" s="30" t="s">
        <v>246</v>
      </c>
      <c r="K13" s="30"/>
      <c r="L13" s="30" t="s">
        <v>151</v>
      </c>
      <c r="N13" s="1" t="s">
        <v>155</v>
      </c>
    </row>
    <row r="14" spans="1:14" ht="19.5">
      <c r="D14" s="1" t="s">
        <v>163</v>
      </c>
      <c r="E14" s="2" t="s">
        <v>253</v>
      </c>
      <c r="G14" s="30" t="s">
        <v>148</v>
      </c>
      <c r="H14" s="30" t="s">
        <v>243</v>
      </c>
      <c r="I14" s="30" t="s">
        <v>247</v>
      </c>
      <c r="J14" s="30" t="s">
        <v>246</v>
      </c>
      <c r="K14" s="30"/>
      <c r="L14" s="30" t="s">
        <v>151</v>
      </c>
      <c r="N14" s="1" t="s">
        <v>162</v>
      </c>
    </row>
    <row r="15" spans="1:14" ht="19.5">
      <c r="D15" s="1" t="s">
        <v>163</v>
      </c>
      <c r="E15" s="2" t="s">
        <v>249</v>
      </c>
      <c r="G15" s="2" t="s">
        <v>250</v>
      </c>
      <c r="H15" s="30" t="s">
        <v>243</v>
      </c>
      <c r="I15" s="30">
        <v>0</v>
      </c>
      <c r="J15" s="30">
        <v>0</v>
      </c>
      <c r="K15" s="30"/>
      <c r="L15" s="30"/>
    </row>
    <row r="16" spans="1:14" ht="19.5">
      <c r="D16" s="1" t="s">
        <v>164</v>
      </c>
      <c r="E16" s="2" t="s">
        <v>252</v>
      </c>
      <c r="G16" s="30" t="s">
        <v>148</v>
      </c>
      <c r="H16" s="30" t="s">
        <v>254</v>
      </c>
      <c r="I16" s="30" t="s">
        <v>255</v>
      </c>
      <c r="J16" s="30" t="s">
        <v>256</v>
      </c>
      <c r="K16" s="30"/>
      <c r="L16" s="30">
        <v>20</v>
      </c>
      <c r="N16" s="1" t="s">
        <v>165</v>
      </c>
    </row>
    <row r="17" spans="1:14" ht="19.5">
      <c r="D17" s="1" t="s">
        <v>164</v>
      </c>
      <c r="E17" s="2" t="s">
        <v>251</v>
      </c>
      <c r="G17" s="30" t="s">
        <v>257</v>
      </c>
      <c r="H17" s="30" t="s">
        <v>254</v>
      </c>
      <c r="I17" s="30">
        <v>0</v>
      </c>
      <c r="J17" s="30">
        <v>0</v>
      </c>
      <c r="K17" s="30"/>
      <c r="L17" s="30">
        <v>20</v>
      </c>
      <c r="N17" s="1" t="s">
        <v>166</v>
      </c>
    </row>
    <row r="18" spans="1:14">
      <c r="E18" s="2"/>
      <c r="G18" s="30"/>
      <c r="H18" s="30"/>
      <c r="I18" s="30"/>
      <c r="J18" s="30"/>
      <c r="K18" s="30"/>
      <c r="L18" s="30"/>
    </row>
    <row r="19" spans="1:14">
      <c r="A19" s="46" t="s">
        <v>167</v>
      </c>
      <c r="E19" s="1" t="s">
        <v>117</v>
      </c>
    </row>
    <row r="20" spans="1:14">
      <c r="E20" s="1" t="s">
        <v>107</v>
      </c>
    </row>
    <row r="21" spans="1:14">
      <c r="E21" s="1" t="s">
        <v>108</v>
      </c>
    </row>
    <row r="22" spans="1:14">
      <c r="E22" s="1" t="s">
        <v>109</v>
      </c>
    </row>
    <row r="23" spans="1:14">
      <c r="E23" s="1" t="s">
        <v>115</v>
      </c>
    </row>
    <row r="24" spans="1:14" ht="19.5">
      <c r="G24" s="46" t="s">
        <v>112</v>
      </c>
      <c r="H24" s="47">
        <f>3-0.5*3+0.5</f>
        <v>2</v>
      </c>
    </row>
    <row r="25" spans="1:14" ht="19.5">
      <c r="G25" s="46" t="s">
        <v>113</v>
      </c>
      <c r="H25" s="47">
        <f>5-3</f>
        <v>2</v>
      </c>
    </row>
    <row r="26" spans="1:14" ht="19.5">
      <c r="G26" s="46" t="s">
        <v>258</v>
      </c>
      <c r="H26" s="47">
        <f>H24/(H24+H25)</f>
        <v>0.5</v>
      </c>
    </row>
    <row r="27" spans="1:14" ht="15.75">
      <c r="H27" s="74">
        <f>H26*(420-240)+240</f>
        <v>330</v>
      </c>
    </row>
    <row r="29" spans="1:14">
      <c r="E29" s="1" t="s">
        <v>116</v>
      </c>
    </row>
    <row r="30" spans="1:14" ht="19.5">
      <c r="G30" s="46" t="s">
        <v>112</v>
      </c>
      <c r="H30" s="47">
        <f>3-0.5*3+0.5</f>
        <v>2</v>
      </c>
    </row>
    <row r="31" spans="1:14" ht="19.5">
      <c r="G31" s="46" t="s">
        <v>113</v>
      </c>
      <c r="H31" s="47">
        <f>5-3</f>
        <v>2</v>
      </c>
    </row>
    <row r="32" spans="1:14" ht="19.5">
      <c r="G32" s="46" t="s">
        <v>258</v>
      </c>
      <c r="H32" s="47">
        <f>H30/(H30+H31)</f>
        <v>0.5</v>
      </c>
    </row>
    <row r="33" spans="5:9" ht="15.75">
      <c r="H33" s="74">
        <f>H32*(260-120)+120</f>
        <v>190</v>
      </c>
      <c r="I33" s="1">
        <f>190*5-200*3</f>
        <v>350</v>
      </c>
    </row>
    <row r="35" spans="5:9" ht="19.5">
      <c r="E35" s="1" t="s">
        <v>121</v>
      </c>
    </row>
    <row r="36" spans="5:9">
      <c r="E36" s="1" t="s">
        <v>118</v>
      </c>
    </row>
    <row r="37" spans="5:9" ht="19.5">
      <c r="E37" s="1" t="s">
        <v>122</v>
      </c>
      <c r="H37" s="1" t="s">
        <v>123</v>
      </c>
    </row>
    <row r="38" spans="5:9" ht="19.5">
      <c r="G38" s="46" t="s">
        <v>119</v>
      </c>
      <c r="H38" s="47">
        <f>3.6-0.5*3.6+0.5</f>
        <v>2.2999999999999998</v>
      </c>
    </row>
    <row r="39" spans="5:9" ht="19.5">
      <c r="G39" s="46" t="s">
        <v>120</v>
      </c>
      <c r="H39" s="47">
        <f>5-3.6</f>
        <v>1.4</v>
      </c>
    </row>
    <row r="40" spans="5:9" ht="19.5">
      <c r="G40" s="46" t="s">
        <v>114</v>
      </c>
      <c r="H40" s="48">
        <f>H38/(H38+H39)</f>
        <v>0.6216216216216216</v>
      </c>
    </row>
    <row r="41" spans="5:9" ht="15.75">
      <c r="H41" s="75">
        <f>H40*(420-240)+240</f>
        <v>351.89189189189187</v>
      </c>
    </row>
    <row r="43" spans="5:9" ht="19.5">
      <c r="E43" s="1" t="s">
        <v>124</v>
      </c>
    </row>
    <row r="44" spans="5:9" ht="19.5">
      <c r="G44" s="46" t="s">
        <v>119</v>
      </c>
      <c r="H44" s="47">
        <f>3.6-0.5*3.6+0.5</f>
        <v>2.2999999999999998</v>
      </c>
    </row>
    <row r="45" spans="5:9" ht="19.5">
      <c r="G45" s="46" t="s">
        <v>120</v>
      </c>
      <c r="H45" s="47">
        <f>5-3.6</f>
        <v>1.4</v>
      </c>
    </row>
    <row r="46" spans="5:9" ht="19.5">
      <c r="G46" s="46" t="s">
        <v>114</v>
      </c>
      <c r="H46" s="48">
        <f>H44/(H44+H45)</f>
        <v>0.6216216216216216</v>
      </c>
    </row>
    <row r="47" spans="5:9" ht="15.75">
      <c r="H47" s="75">
        <f>H46*(260-120)+120</f>
        <v>207.02702702702703</v>
      </c>
    </row>
    <row r="49" spans="1:19" ht="19.5">
      <c r="D49" s="1" t="s">
        <v>125</v>
      </c>
    </row>
    <row r="50" spans="1:19">
      <c r="E50" s="1" t="s">
        <v>126</v>
      </c>
    </row>
    <row r="52" spans="1:19" ht="15.75">
      <c r="A52" s="46" t="s">
        <v>168</v>
      </c>
      <c r="D52" s="76" t="s">
        <v>130</v>
      </c>
      <c r="F52" s="76" t="s">
        <v>130</v>
      </c>
      <c r="G52" s="94" t="s">
        <v>129</v>
      </c>
      <c r="H52" s="94"/>
      <c r="I52" s="94"/>
      <c r="J52" s="94"/>
      <c r="K52" s="94"/>
      <c r="L52" s="94"/>
      <c r="M52" s="94"/>
      <c r="N52" s="94"/>
      <c r="O52" s="94"/>
      <c r="P52" s="94"/>
      <c r="Q52" s="94"/>
    </row>
    <row r="53" spans="1:19">
      <c r="F53" s="91" t="s">
        <v>127</v>
      </c>
      <c r="G53" s="91"/>
      <c r="H53" s="91"/>
      <c r="I53" s="91"/>
      <c r="J53" s="91"/>
      <c r="K53" s="93"/>
      <c r="M53" s="91" t="s">
        <v>128</v>
      </c>
      <c r="N53" s="91"/>
      <c r="O53" s="91"/>
      <c r="P53" s="91"/>
      <c r="Q53" s="91"/>
      <c r="R53" s="91"/>
      <c r="S53" s="91"/>
    </row>
    <row r="54" spans="1:19">
      <c r="F54" s="95" t="s">
        <v>140</v>
      </c>
      <c r="G54" s="95"/>
      <c r="H54" s="95"/>
      <c r="I54" s="95"/>
      <c r="J54" s="95"/>
      <c r="K54" s="53" t="s">
        <v>139</v>
      </c>
      <c r="L54" s="96" t="s">
        <v>140</v>
      </c>
      <c r="M54" s="95"/>
      <c r="N54" s="95"/>
      <c r="O54" s="95"/>
      <c r="P54" s="95"/>
      <c r="Q54" s="95"/>
      <c r="R54" s="52" t="s">
        <v>139</v>
      </c>
      <c r="S54" s="51"/>
    </row>
    <row r="55" spans="1:19">
      <c r="D55" s="46" t="s">
        <v>141</v>
      </c>
      <c r="F55" s="30"/>
      <c r="G55" s="30"/>
      <c r="H55" s="30"/>
      <c r="I55" s="30"/>
      <c r="J55" s="50">
        <f>(352^2-240^2)/(2*180)+((420-352)*352)/180</f>
        <v>317.15555555555557</v>
      </c>
      <c r="K55" s="54">
        <f>352-J55</f>
        <v>34.844444444444434</v>
      </c>
      <c r="L55" s="30"/>
      <c r="M55" s="47" t="s">
        <v>144</v>
      </c>
      <c r="N55" s="30"/>
      <c r="O55" s="30"/>
      <c r="P55" s="58" t="s">
        <v>142</v>
      </c>
      <c r="Q55" s="47">
        <f>(120+260)/2</f>
        <v>190</v>
      </c>
      <c r="R55" s="56">
        <f>352-Q55</f>
        <v>162</v>
      </c>
    </row>
    <row r="56" spans="1:19" ht="29.1" customHeight="1">
      <c r="D56" s="46" t="s">
        <v>131</v>
      </c>
      <c r="J56" s="50">
        <f>(330^2-240^2)/(2*180)+((420-330)*330)/180</f>
        <v>307.5</v>
      </c>
      <c r="K56" s="54">
        <f>330-J56</f>
        <v>22.5</v>
      </c>
      <c r="M56" s="1" t="s">
        <v>144</v>
      </c>
      <c r="P56" s="58" t="s">
        <v>142</v>
      </c>
      <c r="Q56" s="47">
        <f>(120+260)/2</f>
        <v>190</v>
      </c>
      <c r="R56" s="56">
        <f>330-Q56</f>
        <v>140</v>
      </c>
    </row>
    <row r="57" spans="1:19" ht="29.1" customHeight="1">
      <c r="D57" s="46" t="s">
        <v>132</v>
      </c>
      <c r="F57" s="1" t="s">
        <v>143</v>
      </c>
      <c r="I57" s="58" t="s">
        <v>142</v>
      </c>
      <c r="J57" s="47">
        <v>190</v>
      </c>
      <c r="K57" s="55">
        <v>0</v>
      </c>
      <c r="Q57" s="50">
        <f>(190^2-120^2)/(2*140)+((260-190)*190)/140</f>
        <v>172.5</v>
      </c>
      <c r="R57" s="57">
        <f>190-Q57</f>
        <v>17.5</v>
      </c>
    </row>
    <row r="58" spans="1:19" ht="29.1" customHeight="1">
      <c r="D58" s="46" t="s">
        <v>133</v>
      </c>
      <c r="F58" s="1" t="s">
        <v>143</v>
      </c>
      <c r="I58" s="58" t="s">
        <v>142</v>
      </c>
      <c r="J58" s="47">
        <v>207</v>
      </c>
      <c r="K58" s="55">
        <v>0</v>
      </c>
      <c r="Q58" s="50">
        <f>(207^2-120^2)/(2*140)+((260-207)*207)/140</f>
        <v>179.96785714285716</v>
      </c>
      <c r="R58" s="57">
        <f>207-Q58</f>
        <v>27.032142857142844</v>
      </c>
    </row>
    <row r="59" spans="1:19" ht="29.1" customHeight="1">
      <c r="D59" s="46" t="s">
        <v>134</v>
      </c>
      <c r="J59" s="50">
        <f>(352^2-240^2)/(2*180)+((420-352)*352)/180</f>
        <v>317.15555555555557</v>
      </c>
      <c r="K59" s="54">
        <f>352-J59</f>
        <v>34.844444444444434</v>
      </c>
      <c r="M59" s="1" t="s">
        <v>144</v>
      </c>
      <c r="P59" s="58" t="s">
        <v>142</v>
      </c>
      <c r="Q59" s="47">
        <f>(120+260)/2</f>
        <v>190</v>
      </c>
      <c r="R59" s="56">
        <f>352-Q59</f>
        <v>162</v>
      </c>
    </row>
    <row r="60" spans="1:19" ht="29.1" customHeight="1">
      <c r="D60" s="46" t="s">
        <v>135</v>
      </c>
      <c r="J60" s="50">
        <f>(330^2-240^2)/(2*180)+((420-330)*330)/180</f>
        <v>307.5</v>
      </c>
      <c r="K60" s="54">
        <f>330-J60</f>
        <v>22.5</v>
      </c>
      <c r="M60" s="1" t="s">
        <v>144</v>
      </c>
      <c r="P60" s="58" t="s">
        <v>142</v>
      </c>
      <c r="Q60" s="47">
        <f>(120+260)/2</f>
        <v>190</v>
      </c>
      <c r="R60" s="56">
        <f>330-Q60</f>
        <v>140</v>
      </c>
    </row>
    <row r="61" spans="1:19" ht="29.1" customHeight="1">
      <c r="D61" s="46" t="s">
        <v>169</v>
      </c>
      <c r="F61" s="1" t="s">
        <v>143</v>
      </c>
      <c r="I61" s="58" t="s">
        <v>142</v>
      </c>
      <c r="J61" s="47">
        <v>207</v>
      </c>
      <c r="K61" s="54">
        <v>0</v>
      </c>
      <c r="P61" s="58"/>
      <c r="Q61" s="50">
        <f>(207^2-120^2)/(2*140)+((260-207)*207)/140</f>
        <v>179.96785714285716</v>
      </c>
      <c r="R61" s="57">
        <f>207-Q61</f>
        <v>27.032142857142844</v>
      </c>
    </row>
    <row r="62" spans="1:19" ht="29.1" customHeight="1">
      <c r="D62" s="46" t="s">
        <v>136</v>
      </c>
      <c r="J62" s="50">
        <f>(352^2-240^2)/(2*180)+((420-352)*352)/180</f>
        <v>317.15555555555557</v>
      </c>
      <c r="K62" s="54">
        <f>352-J62</f>
        <v>34.844444444444434</v>
      </c>
      <c r="M62" s="1" t="s">
        <v>144</v>
      </c>
      <c r="P62" s="58" t="s">
        <v>142</v>
      </c>
      <c r="Q62" s="50">
        <f>(120+260)/2</f>
        <v>190</v>
      </c>
      <c r="R62" s="57">
        <f>352-Q62</f>
        <v>162</v>
      </c>
    </row>
    <row r="63" spans="1:19" ht="29.1" customHeight="1">
      <c r="D63" s="46" t="s">
        <v>137</v>
      </c>
      <c r="J63" s="50">
        <f>(330^2-240^2)/(2*180)+((420-330)*330)/180</f>
        <v>307.5</v>
      </c>
      <c r="K63" s="54">
        <f>330-J63</f>
        <v>22.5</v>
      </c>
      <c r="M63" s="1" t="s">
        <v>144</v>
      </c>
      <c r="P63" s="58" t="s">
        <v>142</v>
      </c>
      <c r="Q63" s="47">
        <f>(120+260)/2</f>
        <v>190</v>
      </c>
      <c r="R63" s="56">
        <f>330-Q63</f>
        <v>140</v>
      </c>
    </row>
    <row r="64" spans="1:19" ht="29.1" customHeight="1">
      <c r="D64" s="46" t="s">
        <v>138</v>
      </c>
      <c r="J64" s="50">
        <f>(352^2-240^2)/(2*180)+((420-352)*352)/180</f>
        <v>317.15555555555557</v>
      </c>
      <c r="K64" s="54">
        <f>352-J64</f>
        <v>34.844444444444434</v>
      </c>
      <c r="M64" s="1" t="s">
        <v>144</v>
      </c>
      <c r="P64" s="58" t="s">
        <v>142</v>
      </c>
      <c r="Q64" s="47">
        <f>(120+260)/2</f>
        <v>190</v>
      </c>
      <c r="R64" s="56">
        <f>352-Q64</f>
        <v>162</v>
      </c>
    </row>
    <row r="67" spans="3:21" ht="15.75">
      <c r="D67" s="49" t="s">
        <v>145</v>
      </c>
    </row>
    <row r="69" spans="3:21" ht="15.75">
      <c r="G69" s="30" t="s">
        <v>127</v>
      </c>
      <c r="I69" s="30" t="str">
        <f>M53</f>
        <v>D⏐low</v>
      </c>
      <c r="K69" s="49" t="s">
        <v>147</v>
      </c>
      <c r="M69" s="49" t="s">
        <v>147</v>
      </c>
      <c r="N69" s="49" t="s">
        <v>147</v>
      </c>
      <c r="O69" s="49" t="s">
        <v>147</v>
      </c>
      <c r="P69" s="49" t="s">
        <v>147</v>
      </c>
      <c r="Q69" s="49" t="s">
        <v>147</v>
      </c>
      <c r="R69" s="49" t="s">
        <v>147</v>
      </c>
      <c r="S69" s="49" t="s">
        <v>147</v>
      </c>
      <c r="T69" s="49" t="s">
        <v>147</v>
      </c>
      <c r="U69" s="49" t="s">
        <v>147</v>
      </c>
    </row>
    <row r="70" spans="3:21" ht="15.75">
      <c r="D70" s="46" t="s">
        <v>141</v>
      </c>
      <c r="G70" s="34">
        <f>J55*5+K55*3*0.5-K55*0.5-352*3-20</f>
        <v>544.62222222222226</v>
      </c>
      <c r="I70" s="78">
        <f>Q55*5+R55*3*0.5-R55*0.5-352*3-20</f>
        <v>36</v>
      </c>
      <c r="K70" s="63">
        <f>G70*$G$80+I70*$I$80</f>
        <v>331.00088888888894</v>
      </c>
      <c r="M70" s="63">
        <v>188.58666666666667</v>
      </c>
      <c r="N70" s="63">
        <v>239.44888888888892</v>
      </c>
      <c r="O70" s="63">
        <v>214.01777777777778</v>
      </c>
      <c r="P70" s="63">
        <v>264.88</v>
      </c>
      <c r="Q70" s="63">
        <v>290.31111111111113</v>
      </c>
      <c r="R70" s="63">
        <v>341.17333333333335</v>
      </c>
      <c r="S70" s="63">
        <v>392.03555555555556</v>
      </c>
      <c r="T70" s="63">
        <v>442.89777777777783</v>
      </c>
      <c r="U70" s="63">
        <v>493.76000000000005</v>
      </c>
    </row>
    <row r="71" spans="3:21" ht="15.75">
      <c r="D71" s="46" t="s">
        <v>131</v>
      </c>
      <c r="G71" s="30">
        <f>J56*5+K56*3*0.5-K56*0.5-330*3-20</f>
        <v>550</v>
      </c>
      <c r="I71" s="78">
        <f>Q56*5+R56*3*0.5-R56*0.5-330*3-20</f>
        <v>80</v>
      </c>
      <c r="K71" s="63">
        <f t="shared" ref="K71:K79" si="0">G71*$G$80+I71*$I$80</f>
        <v>352.6</v>
      </c>
      <c r="M71" s="63">
        <v>221</v>
      </c>
      <c r="N71" s="63">
        <v>268</v>
      </c>
      <c r="O71" s="63">
        <v>244.5</v>
      </c>
      <c r="P71" s="63">
        <v>291.5</v>
      </c>
      <c r="Q71" s="63">
        <v>315</v>
      </c>
      <c r="R71" s="63">
        <v>362</v>
      </c>
      <c r="S71" s="63">
        <v>409</v>
      </c>
      <c r="T71" s="63">
        <v>456</v>
      </c>
      <c r="U71" s="63">
        <v>503</v>
      </c>
    </row>
    <row r="72" spans="3:21" ht="15.75">
      <c r="D72" s="46" t="s">
        <v>132</v>
      </c>
      <c r="G72" s="30">
        <f>J57*5+K57*3*0.5-K57*0.5-190*3-20</f>
        <v>360</v>
      </c>
      <c r="I72" s="78">
        <f>Q57*5+R57*3*0.5-R57*0.5-190*3-20</f>
        <v>290</v>
      </c>
      <c r="K72" s="63">
        <f t="shared" si="0"/>
        <v>330.6</v>
      </c>
      <c r="M72" s="63">
        <v>311</v>
      </c>
      <c r="N72" s="63">
        <v>318</v>
      </c>
      <c r="O72" s="63">
        <v>314.5</v>
      </c>
      <c r="P72" s="63">
        <v>321.5</v>
      </c>
      <c r="Q72" s="63">
        <v>325</v>
      </c>
      <c r="R72" s="63">
        <v>332</v>
      </c>
      <c r="S72" s="63">
        <v>339</v>
      </c>
      <c r="T72" s="63">
        <v>346</v>
      </c>
      <c r="U72" s="63">
        <v>353</v>
      </c>
    </row>
    <row r="73" spans="3:21" ht="15.75">
      <c r="D73" s="46" t="s">
        <v>133</v>
      </c>
      <c r="G73" s="30">
        <f>J58*5+K58*3*0.5-K58*0.5-207*3-20</f>
        <v>394</v>
      </c>
      <c r="I73" s="78">
        <f>Q58*5+R58*3*0.5-R58*0.5-207*3-20</f>
        <v>285.87142857142862</v>
      </c>
      <c r="K73" s="63">
        <f t="shared" si="0"/>
        <v>348.58600000000001</v>
      </c>
      <c r="M73" s="63">
        <v>318.31</v>
      </c>
      <c r="N73" s="63">
        <v>329.12285714285719</v>
      </c>
      <c r="O73" s="63">
        <v>323.71642857142859</v>
      </c>
      <c r="P73" s="63">
        <v>334.52928571428578</v>
      </c>
      <c r="Q73" s="63">
        <v>339.93571428571431</v>
      </c>
      <c r="R73" s="63">
        <v>350.74857142857144</v>
      </c>
      <c r="S73" s="63">
        <v>361.56142857142856</v>
      </c>
      <c r="T73" s="63">
        <v>372.37428571428575</v>
      </c>
      <c r="U73" s="63">
        <v>383.18714285714287</v>
      </c>
    </row>
    <row r="74" spans="3:21" ht="15.75">
      <c r="D74" s="46" t="s">
        <v>134</v>
      </c>
      <c r="G74" s="34">
        <f>J59*5+K59*3.6*0.5-K59*0.5-190*3-(352-190)*3.6-20*2</f>
        <v>437.87555555555559</v>
      </c>
      <c r="I74" s="78">
        <f>Q59*5+R59*3*0.5-R59*0.5-190*3-(352-190)*3.6-20*2</f>
        <v>-81.200000000000045</v>
      </c>
      <c r="K74" s="63">
        <f t="shared" si="0"/>
        <v>219.86382222222227</v>
      </c>
      <c r="M74" s="63">
        <v>74.522666666666652</v>
      </c>
      <c r="N74" s="63">
        <v>126.43022222222223</v>
      </c>
      <c r="O74" s="63">
        <v>100.47644444444441</v>
      </c>
      <c r="P74" s="63">
        <v>152.38399999999999</v>
      </c>
      <c r="Q74" s="63">
        <v>178.33777777777777</v>
      </c>
      <c r="R74" s="63">
        <v>230.24533333333335</v>
      </c>
      <c r="S74" s="63">
        <v>282.15288888888887</v>
      </c>
      <c r="T74" s="63">
        <v>334.0604444444445</v>
      </c>
      <c r="U74" s="63">
        <v>385.96800000000002</v>
      </c>
    </row>
    <row r="75" spans="3:21" ht="15.75">
      <c r="D75" s="46" t="s">
        <v>135</v>
      </c>
      <c r="G75" s="34">
        <f>J60*5+K60*3.6*0.5-K60*0.5-190*3-(330-190)*3.6-20*2</f>
        <v>452.75</v>
      </c>
      <c r="I75" s="78">
        <f>Q60*5+R60*3*0.5-R60*0.5-190*3-(330-190)*3.6-20*2</f>
        <v>-24</v>
      </c>
      <c r="K75" s="63">
        <f t="shared" si="0"/>
        <v>252.51500000000004</v>
      </c>
      <c r="M75" s="63">
        <v>119.02499999999999</v>
      </c>
      <c r="N75" s="63">
        <v>166.70000000000002</v>
      </c>
      <c r="O75" s="63">
        <v>142.86249999999998</v>
      </c>
      <c r="P75" s="63">
        <v>190.53750000000002</v>
      </c>
      <c r="Q75" s="63">
        <v>214.375</v>
      </c>
      <c r="R75" s="63">
        <v>262.04999999999995</v>
      </c>
      <c r="S75" s="63">
        <v>309.72499999999997</v>
      </c>
      <c r="T75" s="63">
        <v>357.40000000000003</v>
      </c>
      <c r="U75" s="63">
        <v>405.07500000000005</v>
      </c>
    </row>
    <row r="76" spans="3:21" ht="15.75">
      <c r="D76" s="46" t="s">
        <v>169</v>
      </c>
      <c r="G76" s="34">
        <f>J61*5+K61*3.6*0.5-K61*0.5-190*3-(207-190)*3.6-20*2</f>
        <v>363.8</v>
      </c>
      <c r="I76" s="78">
        <f>Q61*5+(R61-207+190)*3*0.5+(207-190)*3.6*0.5-R61*0.5-190*3-(207-190)*3.6-20*2</f>
        <v>260.77142857142866</v>
      </c>
      <c r="K76" s="63">
        <f t="shared" si="0"/>
        <v>320.52800000000002</v>
      </c>
      <c r="M76" s="63">
        <v>291.68000000000006</v>
      </c>
      <c r="N76" s="63">
        <v>301.9828571428572</v>
      </c>
      <c r="O76" s="63">
        <v>296.83142857142866</v>
      </c>
      <c r="P76" s="63">
        <v>307.1342857142858</v>
      </c>
      <c r="Q76" s="63">
        <v>312.28571428571433</v>
      </c>
      <c r="R76" s="63">
        <v>322.58857142857147</v>
      </c>
      <c r="S76" s="63">
        <v>332.89142857142861</v>
      </c>
      <c r="T76" s="63">
        <v>343.19428571428574</v>
      </c>
      <c r="U76" s="63">
        <v>353.49714285714288</v>
      </c>
    </row>
    <row r="77" spans="3:21" ht="15.75">
      <c r="D77" s="46" t="s">
        <v>136</v>
      </c>
      <c r="G77" s="34">
        <f>J62*5+K62*3.6*0.5-K62*0.5-207*3-(352-207)*3.6-20*2</f>
        <v>448.07555555555564</v>
      </c>
      <c r="I77" s="78">
        <f>Q62*5+R62*3*0.5-R62*0.5-207*3-(352-207)*3.6-20*2</f>
        <v>-71</v>
      </c>
      <c r="K77" s="63">
        <f t="shared" si="0"/>
        <v>230.06382222222231</v>
      </c>
      <c r="M77" s="63">
        <v>84.722666666666697</v>
      </c>
      <c r="N77" s="63">
        <v>136.63022222222227</v>
      </c>
      <c r="O77" s="63">
        <v>110.67644444444446</v>
      </c>
      <c r="P77" s="63">
        <v>162.58400000000003</v>
      </c>
      <c r="Q77" s="63">
        <v>188.53777777777782</v>
      </c>
      <c r="R77" s="63">
        <v>240.44533333333337</v>
      </c>
      <c r="S77" s="63">
        <v>292.35288888888891</v>
      </c>
      <c r="T77" s="63">
        <v>344.26044444444454</v>
      </c>
      <c r="U77" s="63">
        <v>396.16800000000006</v>
      </c>
    </row>
    <row r="78" spans="3:21" ht="15.75">
      <c r="D78" s="46" t="s">
        <v>137</v>
      </c>
      <c r="G78" s="34">
        <f>J63*5+K63*3.6*0.5-K63*0.5-207*3-(330-207)*3.6-20*2</f>
        <v>462.95</v>
      </c>
      <c r="I78" s="78">
        <f>Q63*5+R63*3*0.5-R63*0.5-207*3-(330-207)*3.6-20*2</f>
        <v>-13.800000000000011</v>
      </c>
      <c r="K78" s="63">
        <f t="shared" si="0"/>
        <v>262.71500000000003</v>
      </c>
      <c r="M78" s="63">
        <v>129.22499999999999</v>
      </c>
      <c r="N78" s="63">
        <v>176.9</v>
      </c>
      <c r="O78" s="63">
        <v>153.0625</v>
      </c>
      <c r="P78" s="63">
        <v>200.73749999999998</v>
      </c>
      <c r="Q78" s="63">
        <v>224.57499999999999</v>
      </c>
      <c r="R78" s="63">
        <v>272.25</v>
      </c>
      <c r="S78" s="63">
        <v>319.92500000000001</v>
      </c>
      <c r="T78" s="63">
        <v>367.6</v>
      </c>
      <c r="U78" s="63">
        <v>415.27499999999998</v>
      </c>
    </row>
    <row r="79" spans="3:21" ht="16.5" thickBot="1">
      <c r="C79" s="60"/>
      <c r="D79" s="61" t="s">
        <v>138</v>
      </c>
      <c r="E79" s="60"/>
      <c r="F79" s="60"/>
      <c r="G79" s="62">
        <f>J64*5+(K64-(352-330))*3+(352-330)*3.6*0.5-K64*0.5-330*3-(352-330)*3.6-20*2</f>
        <v>537.28888888888878</v>
      </c>
      <c r="H79" s="60"/>
      <c r="I79" s="79">
        <f>Q64*5+R64*3*0.5-R64*0.5-330*3-(352-330)*3.6-20*2</f>
        <v>2.7999999999999972</v>
      </c>
      <c r="J79" s="60"/>
      <c r="K79" s="63">
        <f t="shared" si="0"/>
        <v>312.80355555555553</v>
      </c>
      <c r="M79" s="63">
        <v>163.14666666666665</v>
      </c>
      <c r="N79" s="63">
        <v>216.59555555555553</v>
      </c>
      <c r="O79" s="63">
        <v>189.87111111111105</v>
      </c>
      <c r="P79" s="63">
        <v>243.31999999999994</v>
      </c>
      <c r="Q79" s="63">
        <v>270.04444444444437</v>
      </c>
      <c r="R79" s="63">
        <v>323.49333333333328</v>
      </c>
      <c r="S79" s="63">
        <v>376.94222222222209</v>
      </c>
      <c r="T79" s="63">
        <v>430.39111111111106</v>
      </c>
      <c r="U79" s="63">
        <v>483.83999999999986</v>
      </c>
    </row>
    <row r="80" spans="3:21" ht="15.75">
      <c r="C80" s="1" t="s">
        <v>146</v>
      </c>
      <c r="G80" s="77">
        <f>'iterations 8 (SL)'!Y31</f>
        <v>0.58000000000000007</v>
      </c>
      <c r="H80" s="77"/>
      <c r="I80" s="77">
        <f>1-G80</f>
        <v>0.41999999999999993</v>
      </c>
      <c r="K80" s="30">
        <f>G80</f>
        <v>0.58000000000000007</v>
      </c>
      <c r="L80" s="30" t="s">
        <v>127</v>
      </c>
      <c r="M80" s="30">
        <v>0.3</v>
      </c>
      <c r="N80" s="30">
        <v>0.4</v>
      </c>
      <c r="O80" s="30">
        <v>0.35</v>
      </c>
      <c r="P80" s="1">
        <v>0.45</v>
      </c>
      <c r="Q80" s="30">
        <v>0.5</v>
      </c>
      <c r="R80" s="30">
        <v>0.6</v>
      </c>
      <c r="S80" s="30">
        <v>0.7</v>
      </c>
      <c r="T80" s="30">
        <v>0.8</v>
      </c>
      <c r="U80" s="30">
        <v>0.9</v>
      </c>
    </row>
    <row r="81" spans="1:9">
      <c r="G81" s="30"/>
      <c r="H81" s="30"/>
      <c r="I81" s="30"/>
    </row>
    <row r="82" spans="1:9">
      <c r="A82" s="46" t="s">
        <v>170</v>
      </c>
      <c r="E82" s="1" t="s">
        <v>171</v>
      </c>
      <c r="F82" s="32">
        <f>K76-'1and2'!J30</f>
        <v>-49.47199999999998</v>
      </c>
    </row>
    <row r="83" spans="1:9">
      <c r="E83" s="1" t="s">
        <v>172</v>
      </c>
    </row>
  </sheetData>
  <sheetProtection sheet="1" objects="1" scenarios="1"/>
  <mergeCells count="5">
    <mergeCell ref="F53:K53"/>
    <mergeCell ref="M53:S53"/>
    <mergeCell ref="G52:Q52"/>
    <mergeCell ref="F54:J54"/>
    <mergeCell ref="L54:Q54"/>
  </mergeCells>
  <conditionalFormatting sqref="K70:K79">
    <cfRule type="colorScale" priority="10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M70:M79">
    <cfRule type="colorScale" priority="8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N70:N79">
    <cfRule type="colorScale" priority="6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O70:O79">
    <cfRule type="colorScale" priority="7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P70:P79">
    <cfRule type="colorScale" priority="9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Q70:Q79">
    <cfRule type="colorScale" priority="5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R70:R79">
    <cfRule type="colorScale" priority="4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S70:S79">
    <cfRule type="colorScale" priority="3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T70:T79">
    <cfRule type="colorScale" priority="2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U70:U79">
    <cfRule type="colorScale" priority="1">
      <colorScale>
        <cfvo type="min"/>
        <cfvo type="percentile" val="50"/>
        <cfvo type="max"/>
        <color rgb="FFFF0000"/>
        <color rgb="FFFFC000"/>
        <color rgb="FF00B050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D177-8370-584C-82E3-5227DA54CA9B}">
  <sheetPr codeName="Sheet9"/>
  <dimension ref="B2:Q45"/>
  <sheetViews>
    <sheetView zoomScale="50" zoomScaleNormal="50" workbookViewId="0">
      <selection activeCell="AB19" sqref="AB19"/>
    </sheetView>
  </sheetViews>
  <sheetFormatPr defaultColWidth="11" defaultRowHeight="15.75"/>
  <sheetData>
    <row r="2" spans="2:17">
      <c r="H2">
        <v>5</v>
      </c>
      <c r="I2">
        <v>3</v>
      </c>
      <c r="J2">
        <v>3.6</v>
      </c>
      <c r="N2">
        <v>0.45</v>
      </c>
    </row>
    <row r="3" spans="2:17">
      <c r="B3" t="s">
        <v>260</v>
      </c>
      <c r="C3" t="s">
        <v>259</v>
      </c>
      <c r="E3" t="s">
        <v>262</v>
      </c>
      <c r="G3" t="s">
        <v>237</v>
      </c>
      <c r="H3" t="s">
        <v>31</v>
      </c>
      <c r="I3" t="s">
        <v>265</v>
      </c>
      <c r="J3" t="s">
        <v>265</v>
      </c>
      <c r="K3" t="s">
        <v>264</v>
      </c>
      <c r="L3" t="s">
        <v>266</v>
      </c>
      <c r="M3" t="s">
        <v>225</v>
      </c>
      <c r="N3" t="s">
        <v>267</v>
      </c>
      <c r="O3" t="s">
        <v>268</v>
      </c>
    </row>
    <row r="4" spans="2:17">
      <c r="B4">
        <v>170</v>
      </c>
      <c r="C4">
        <v>0</v>
      </c>
      <c r="E4" t="s">
        <v>261</v>
      </c>
      <c r="F4">
        <f>IF((240+420)/2&gt;($B4+$C4),($B4+$C4),(240+420)/2)</f>
        <v>170</v>
      </c>
      <c r="G4">
        <f t="shared" ref="G4:G45" si="0">C4+B4-F4</f>
        <v>0</v>
      </c>
      <c r="H4">
        <f t="shared" ref="H4:H45" si="1">F4*$H$2</f>
        <v>850</v>
      </c>
      <c r="I4">
        <f t="shared" ref="I4:I45" si="2">$I$2*B4</f>
        <v>510</v>
      </c>
      <c r="J4">
        <f t="shared" ref="J4:J45" si="3">$J$2*C4</f>
        <v>0</v>
      </c>
      <c r="K4">
        <f t="shared" ref="K4:K45" si="4">-G4*3*0.5+0.5*G4</f>
        <v>0</v>
      </c>
      <c r="L4">
        <f t="shared" ref="L4:L45" si="5">2*20</f>
        <v>40</v>
      </c>
      <c r="M4">
        <f t="shared" ref="M4:M45" si="6">H4-SUM(I4:L4)</f>
        <v>300</v>
      </c>
      <c r="N4">
        <f>M4*$N$2+M5*(1-$N$2)</f>
        <v>300</v>
      </c>
      <c r="O4" t="str">
        <f>B4&amp;"+"&amp;C4</f>
        <v>170+0</v>
      </c>
    </row>
    <row r="5" spans="2:17">
      <c r="B5">
        <f>B4</f>
        <v>170</v>
      </c>
      <c r="C5">
        <f>C4</f>
        <v>0</v>
      </c>
      <c r="E5" t="s">
        <v>263</v>
      </c>
      <c r="F5">
        <f>IF((120+260)/2&gt;($B5+$C5),($B5+$C5),(120+260)/2)</f>
        <v>170</v>
      </c>
      <c r="G5">
        <f t="shared" si="0"/>
        <v>0</v>
      </c>
      <c r="H5">
        <f t="shared" si="1"/>
        <v>850</v>
      </c>
      <c r="I5">
        <f t="shared" si="2"/>
        <v>510</v>
      </c>
      <c r="J5">
        <f t="shared" si="3"/>
        <v>0</v>
      </c>
      <c r="K5">
        <f t="shared" si="4"/>
        <v>0</v>
      </c>
      <c r="L5">
        <f t="shared" si="5"/>
        <v>40</v>
      </c>
      <c r="M5">
        <f t="shared" si="6"/>
        <v>300</v>
      </c>
      <c r="Q5">
        <v>1</v>
      </c>
    </row>
    <row r="6" spans="2:17">
      <c r="B6">
        <f>B5</f>
        <v>170</v>
      </c>
      <c r="C6">
        <f>+C4+10</f>
        <v>10</v>
      </c>
      <c r="E6" t="s">
        <v>261</v>
      </c>
      <c r="F6">
        <f>IF((240+420)/2&gt;($B6+$C6),($B6+$C6),(240+420)/2)</f>
        <v>180</v>
      </c>
      <c r="G6">
        <f t="shared" si="0"/>
        <v>0</v>
      </c>
      <c r="H6">
        <f t="shared" si="1"/>
        <v>900</v>
      </c>
      <c r="I6">
        <f t="shared" si="2"/>
        <v>510</v>
      </c>
      <c r="J6">
        <f t="shared" si="3"/>
        <v>36</v>
      </c>
      <c r="K6">
        <f t="shared" si="4"/>
        <v>0</v>
      </c>
      <c r="L6">
        <f t="shared" si="5"/>
        <v>40</v>
      </c>
      <c r="M6">
        <f t="shared" si="6"/>
        <v>314</v>
      </c>
      <c r="N6">
        <f>M6*$N$2+M7*(1-$N$2)</f>
        <v>314</v>
      </c>
      <c r="O6" t="str">
        <f>B6&amp;"+"&amp;C6</f>
        <v>170+10</v>
      </c>
      <c r="Q6">
        <v>3</v>
      </c>
    </row>
    <row r="7" spans="2:17">
      <c r="B7">
        <f t="shared" ref="B7:B45" si="7">B6</f>
        <v>170</v>
      </c>
      <c r="C7">
        <f>C6</f>
        <v>10</v>
      </c>
      <c r="E7" t="s">
        <v>263</v>
      </c>
      <c r="F7">
        <f>IF((120+260)/2&gt;($B7+$C7),($B7+$C7),(120+260)/2)</f>
        <v>180</v>
      </c>
      <c r="G7">
        <f t="shared" si="0"/>
        <v>0</v>
      </c>
      <c r="H7">
        <f t="shared" si="1"/>
        <v>900</v>
      </c>
      <c r="I7">
        <f t="shared" si="2"/>
        <v>510</v>
      </c>
      <c r="J7">
        <f t="shared" si="3"/>
        <v>36</v>
      </c>
      <c r="K7">
        <f t="shared" si="4"/>
        <v>0</v>
      </c>
      <c r="L7">
        <f t="shared" si="5"/>
        <v>40</v>
      </c>
      <c r="M7">
        <f t="shared" si="6"/>
        <v>314</v>
      </c>
      <c r="Q7" t="str">
        <f>Q5&amp;"+"&amp;Q6</f>
        <v>1+3</v>
      </c>
    </row>
    <row r="8" spans="2:17">
      <c r="B8">
        <f t="shared" si="7"/>
        <v>170</v>
      </c>
      <c r="C8">
        <f>+C6+10</f>
        <v>20</v>
      </c>
      <c r="E8" t="s">
        <v>261</v>
      </c>
      <c r="F8">
        <f>IF((240+420)/2&gt;($B8+$C8),($B8+$C8),(240+420)/2)</f>
        <v>190</v>
      </c>
      <c r="G8">
        <f t="shared" si="0"/>
        <v>0</v>
      </c>
      <c r="H8">
        <f t="shared" si="1"/>
        <v>950</v>
      </c>
      <c r="I8">
        <f t="shared" si="2"/>
        <v>510</v>
      </c>
      <c r="J8">
        <f t="shared" si="3"/>
        <v>72</v>
      </c>
      <c r="K8">
        <f t="shared" si="4"/>
        <v>0</v>
      </c>
      <c r="L8">
        <f t="shared" si="5"/>
        <v>40</v>
      </c>
      <c r="M8">
        <f t="shared" si="6"/>
        <v>328</v>
      </c>
      <c r="N8">
        <f>M8*$N$2+M9*(1-$N$2)</f>
        <v>328</v>
      </c>
      <c r="O8" t="str">
        <f t="shared" ref="O8" si="8">B8&amp;"+"&amp;C8</f>
        <v>170+20</v>
      </c>
    </row>
    <row r="9" spans="2:17">
      <c r="B9">
        <f t="shared" si="7"/>
        <v>170</v>
      </c>
      <c r="C9">
        <f>C8</f>
        <v>20</v>
      </c>
      <c r="E9" t="s">
        <v>263</v>
      </c>
      <c r="F9">
        <f>IF((120+260)/2&gt;($B9+$C9),($B9+$C9),(120+260)/2)</f>
        <v>190</v>
      </c>
      <c r="G9">
        <f t="shared" si="0"/>
        <v>0</v>
      </c>
      <c r="H9">
        <f t="shared" si="1"/>
        <v>950</v>
      </c>
      <c r="I9">
        <f t="shared" si="2"/>
        <v>510</v>
      </c>
      <c r="J9">
        <f t="shared" si="3"/>
        <v>72</v>
      </c>
      <c r="K9">
        <f t="shared" si="4"/>
        <v>0</v>
      </c>
      <c r="L9">
        <f t="shared" si="5"/>
        <v>40</v>
      </c>
      <c r="M9">
        <f t="shared" si="6"/>
        <v>328</v>
      </c>
    </row>
    <row r="10" spans="2:17">
      <c r="B10">
        <f>B9</f>
        <v>170</v>
      </c>
      <c r="C10">
        <f>+C8+10</f>
        <v>30</v>
      </c>
      <c r="E10" t="s">
        <v>261</v>
      </c>
      <c r="F10">
        <f>IF((240+420)/2&gt;($B10+$C10),($B10+$C10),(240+420)/2)</f>
        <v>200</v>
      </c>
      <c r="G10">
        <f t="shared" si="0"/>
        <v>0</v>
      </c>
      <c r="H10">
        <f t="shared" si="1"/>
        <v>1000</v>
      </c>
      <c r="I10">
        <f t="shared" si="2"/>
        <v>510</v>
      </c>
      <c r="J10">
        <f t="shared" si="3"/>
        <v>108</v>
      </c>
      <c r="K10">
        <f t="shared" si="4"/>
        <v>0</v>
      </c>
      <c r="L10">
        <f t="shared" si="5"/>
        <v>40</v>
      </c>
      <c r="M10">
        <f t="shared" si="6"/>
        <v>342</v>
      </c>
      <c r="N10">
        <f>M10*$N$2+M11*(1-$N$2)</f>
        <v>320</v>
      </c>
      <c r="O10" t="str">
        <f t="shared" ref="O10" si="9">B10&amp;"+"&amp;C10</f>
        <v>170+30</v>
      </c>
    </row>
    <row r="11" spans="2:17">
      <c r="B11">
        <f t="shared" si="7"/>
        <v>170</v>
      </c>
      <c r="C11">
        <f>C10</f>
        <v>30</v>
      </c>
      <c r="E11" t="s">
        <v>263</v>
      </c>
      <c r="F11">
        <f>IF((120+260)/2&gt;($B11+$C11),($B11+$C11),(120+260)/2)</f>
        <v>190</v>
      </c>
      <c r="G11">
        <f t="shared" si="0"/>
        <v>10</v>
      </c>
      <c r="H11">
        <f t="shared" si="1"/>
        <v>950</v>
      </c>
      <c r="I11">
        <f t="shared" si="2"/>
        <v>510</v>
      </c>
      <c r="J11">
        <f t="shared" si="3"/>
        <v>108</v>
      </c>
      <c r="K11">
        <f t="shared" si="4"/>
        <v>-10</v>
      </c>
      <c r="L11">
        <f t="shared" si="5"/>
        <v>40</v>
      </c>
      <c r="M11">
        <f t="shared" si="6"/>
        <v>302</v>
      </c>
    </row>
    <row r="12" spans="2:17">
      <c r="B12">
        <f t="shared" si="7"/>
        <v>170</v>
      </c>
      <c r="C12">
        <f>+C10+10</f>
        <v>40</v>
      </c>
      <c r="E12" t="s">
        <v>261</v>
      </c>
      <c r="F12">
        <f>IF((240+420)/2&gt;($B12+$C12),($B12+$C12),(240+420)/2)</f>
        <v>210</v>
      </c>
      <c r="G12">
        <f t="shared" si="0"/>
        <v>0</v>
      </c>
      <c r="H12">
        <f t="shared" si="1"/>
        <v>1050</v>
      </c>
      <c r="I12">
        <f t="shared" si="2"/>
        <v>510</v>
      </c>
      <c r="J12">
        <f t="shared" si="3"/>
        <v>144</v>
      </c>
      <c r="K12">
        <f t="shared" si="4"/>
        <v>0</v>
      </c>
      <c r="L12">
        <f t="shared" si="5"/>
        <v>40</v>
      </c>
      <c r="M12">
        <f t="shared" si="6"/>
        <v>356</v>
      </c>
      <c r="N12">
        <f>M12*$N$2+M13*(1-$N$2)</f>
        <v>312</v>
      </c>
      <c r="O12" t="str">
        <f t="shared" ref="O12" si="10">B12&amp;"+"&amp;C12</f>
        <v>170+40</v>
      </c>
    </row>
    <row r="13" spans="2:17">
      <c r="B13">
        <f t="shared" si="7"/>
        <v>170</v>
      </c>
      <c r="C13">
        <f>C12</f>
        <v>40</v>
      </c>
      <c r="E13" t="s">
        <v>263</v>
      </c>
      <c r="F13">
        <f>IF((120+260)/2&gt;($B13+$C13),($B13+$C13),(120+260)/2)</f>
        <v>190</v>
      </c>
      <c r="G13">
        <f t="shared" si="0"/>
        <v>20</v>
      </c>
      <c r="H13">
        <f t="shared" si="1"/>
        <v>950</v>
      </c>
      <c r="I13">
        <f t="shared" si="2"/>
        <v>510</v>
      </c>
      <c r="J13">
        <f t="shared" si="3"/>
        <v>144</v>
      </c>
      <c r="K13">
        <f t="shared" si="4"/>
        <v>-20</v>
      </c>
      <c r="L13">
        <f t="shared" si="5"/>
        <v>40</v>
      </c>
      <c r="M13">
        <f t="shared" si="6"/>
        <v>276</v>
      </c>
    </row>
    <row r="14" spans="2:17">
      <c r="B14">
        <f t="shared" si="7"/>
        <v>170</v>
      </c>
      <c r="C14">
        <f>+C12+10</f>
        <v>50</v>
      </c>
      <c r="E14" t="s">
        <v>261</v>
      </c>
      <c r="F14">
        <f>IF((240+420)/2&gt;($B14+$C14),($B14+$C14),(240+420)/2)</f>
        <v>220</v>
      </c>
      <c r="G14">
        <f t="shared" si="0"/>
        <v>0</v>
      </c>
      <c r="H14">
        <f t="shared" si="1"/>
        <v>1100</v>
      </c>
      <c r="I14">
        <f t="shared" si="2"/>
        <v>510</v>
      </c>
      <c r="J14">
        <f t="shared" si="3"/>
        <v>180</v>
      </c>
      <c r="K14">
        <f t="shared" si="4"/>
        <v>0</v>
      </c>
      <c r="L14">
        <f t="shared" si="5"/>
        <v>40</v>
      </c>
      <c r="M14">
        <f t="shared" si="6"/>
        <v>370</v>
      </c>
      <c r="N14">
        <f>M14*$N$2+M15*(1-$N$2)</f>
        <v>304</v>
      </c>
      <c r="O14" t="str">
        <f t="shared" ref="O14" si="11">B14&amp;"+"&amp;C14</f>
        <v>170+50</v>
      </c>
    </row>
    <row r="15" spans="2:17">
      <c r="B15">
        <f t="shared" si="7"/>
        <v>170</v>
      </c>
      <c r="C15">
        <f>C14</f>
        <v>50</v>
      </c>
      <c r="E15" t="s">
        <v>263</v>
      </c>
      <c r="F15">
        <f>IF((120+260)/2&gt;($B15+$C15),($B15+$C15),(120+260)/2)</f>
        <v>190</v>
      </c>
      <c r="G15">
        <f t="shared" si="0"/>
        <v>30</v>
      </c>
      <c r="H15">
        <f t="shared" si="1"/>
        <v>950</v>
      </c>
      <c r="I15">
        <f t="shared" si="2"/>
        <v>510</v>
      </c>
      <c r="J15">
        <f t="shared" si="3"/>
        <v>180</v>
      </c>
      <c r="K15">
        <f t="shared" si="4"/>
        <v>-30</v>
      </c>
      <c r="L15">
        <f t="shared" si="5"/>
        <v>40</v>
      </c>
      <c r="M15">
        <f t="shared" si="6"/>
        <v>250</v>
      </c>
    </row>
    <row r="16" spans="2:17">
      <c r="B16">
        <f t="shared" si="7"/>
        <v>170</v>
      </c>
      <c r="C16">
        <f>+C14+10</f>
        <v>60</v>
      </c>
      <c r="E16" t="s">
        <v>261</v>
      </c>
      <c r="F16">
        <f>IF((240+420)/2&gt;($B16+$C16),($B16+$C16),(240+420)/2)</f>
        <v>230</v>
      </c>
      <c r="G16">
        <f t="shared" si="0"/>
        <v>0</v>
      </c>
      <c r="H16">
        <f t="shared" si="1"/>
        <v>1150</v>
      </c>
      <c r="I16">
        <f t="shared" si="2"/>
        <v>510</v>
      </c>
      <c r="J16">
        <f t="shared" si="3"/>
        <v>216</v>
      </c>
      <c r="K16">
        <f t="shared" si="4"/>
        <v>0</v>
      </c>
      <c r="L16">
        <f t="shared" si="5"/>
        <v>40</v>
      </c>
      <c r="M16">
        <f t="shared" si="6"/>
        <v>384</v>
      </c>
      <c r="N16">
        <f>M16*$N$2+M17*(1-$N$2)</f>
        <v>296</v>
      </c>
      <c r="O16" t="str">
        <f t="shared" ref="O16" si="12">B16&amp;"+"&amp;C16</f>
        <v>170+60</v>
      </c>
    </row>
    <row r="17" spans="2:15">
      <c r="B17">
        <f t="shared" si="7"/>
        <v>170</v>
      </c>
      <c r="C17">
        <f>C16</f>
        <v>60</v>
      </c>
      <c r="E17" t="s">
        <v>263</v>
      </c>
      <c r="F17">
        <f>IF((120+260)/2&gt;($B17+$C17),($B17+$C17),(120+260)/2)</f>
        <v>190</v>
      </c>
      <c r="G17">
        <f t="shared" si="0"/>
        <v>40</v>
      </c>
      <c r="H17">
        <f t="shared" si="1"/>
        <v>950</v>
      </c>
      <c r="I17">
        <f t="shared" si="2"/>
        <v>510</v>
      </c>
      <c r="J17">
        <f t="shared" si="3"/>
        <v>216</v>
      </c>
      <c r="K17">
        <f t="shared" si="4"/>
        <v>-40</v>
      </c>
      <c r="L17">
        <f t="shared" si="5"/>
        <v>40</v>
      </c>
      <c r="M17">
        <f t="shared" si="6"/>
        <v>224</v>
      </c>
    </row>
    <row r="18" spans="2:15">
      <c r="B18">
        <f t="shared" si="7"/>
        <v>170</v>
      </c>
      <c r="C18">
        <f>+C16+10</f>
        <v>70</v>
      </c>
      <c r="E18" t="s">
        <v>261</v>
      </c>
      <c r="F18">
        <f>IF((240+420)/2&gt;($B18+$C18),($B18+$C18),(240+420)/2)</f>
        <v>240</v>
      </c>
      <c r="G18">
        <f t="shared" si="0"/>
        <v>0</v>
      </c>
      <c r="H18">
        <f t="shared" si="1"/>
        <v>1200</v>
      </c>
      <c r="I18">
        <f t="shared" si="2"/>
        <v>510</v>
      </c>
      <c r="J18">
        <f t="shared" si="3"/>
        <v>252</v>
      </c>
      <c r="K18">
        <f t="shared" si="4"/>
        <v>0</v>
      </c>
      <c r="L18">
        <f t="shared" si="5"/>
        <v>40</v>
      </c>
      <c r="M18">
        <f t="shared" si="6"/>
        <v>398</v>
      </c>
      <c r="N18">
        <f>M18*$N$2+M19*(1-$N$2)</f>
        <v>288</v>
      </c>
      <c r="O18" t="str">
        <f t="shared" ref="O18" si="13">B18&amp;"+"&amp;C18</f>
        <v>170+70</v>
      </c>
    </row>
    <row r="19" spans="2:15">
      <c r="B19">
        <f t="shared" si="7"/>
        <v>170</v>
      </c>
      <c r="C19">
        <f>C18</f>
        <v>70</v>
      </c>
      <c r="E19" t="s">
        <v>263</v>
      </c>
      <c r="F19">
        <f>IF((120+260)/2&gt;($B19+$C19),($B19+$C19),(120+260)/2)</f>
        <v>190</v>
      </c>
      <c r="G19">
        <f t="shared" si="0"/>
        <v>50</v>
      </c>
      <c r="H19">
        <f t="shared" si="1"/>
        <v>950</v>
      </c>
      <c r="I19">
        <f t="shared" si="2"/>
        <v>510</v>
      </c>
      <c r="J19">
        <f t="shared" si="3"/>
        <v>252</v>
      </c>
      <c r="K19">
        <f t="shared" si="4"/>
        <v>-50</v>
      </c>
      <c r="L19">
        <f t="shared" si="5"/>
        <v>40</v>
      </c>
      <c r="M19">
        <f t="shared" si="6"/>
        <v>198</v>
      </c>
    </row>
    <row r="20" spans="2:15">
      <c r="B20">
        <f t="shared" si="7"/>
        <v>170</v>
      </c>
      <c r="C20">
        <f>+C18+10</f>
        <v>80</v>
      </c>
      <c r="E20" t="s">
        <v>261</v>
      </c>
      <c r="F20">
        <f>IF((240+420)/2&gt;($B20+$C20),($B20+$C20),(240+420)/2)</f>
        <v>250</v>
      </c>
      <c r="G20">
        <f t="shared" si="0"/>
        <v>0</v>
      </c>
      <c r="H20">
        <f t="shared" si="1"/>
        <v>1250</v>
      </c>
      <c r="I20">
        <f t="shared" si="2"/>
        <v>510</v>
      </c>
      <c r="J20">
        <f t="shared" si="3"/>
        <v>288</v>
      </c>
      <c r="K20">
        <f t="shared" si="4"/>
        <v>0</v>
      </c>
      <c r="L20">
        <f t="shared" si="5"/>
        <v>40</v>
      </c>
      <c r="M20">
        <f t="shared" si="6"/>
        <v>412</v>
      </c>
      <c r="N20">
        <f>M20*$N$2+M21*(1-$N$2)</f>
        <v>280</v>
      </c>
      <c r="O20" t="str">
        <f t="shared" ref="O20" si="14">B20&amp;"+"&amp;C20</f>
        <v>170+80</v>
      </c>
    </row>
    <row r="21" spans="2:15">
      <c r="B21">
        <f t="shared" si="7"/>
        <v>170</v>
      </c>
      <c r="C21">
        <f>C20</f>
        <v>80</v>
      </c>
      <c r="E21" t="s">
        <v>263</v>
      </c>
      <c r="F21">
        <f>IF((120+260)/2&gt;($B21+$C21),($B21+$C21),(120+260)/2)</f>
        <v>190</v>
      </c>
      <c r="G21">
        <f t="shared" si="0"/>
        <v>60</v>
      </c>
      <c r="H21">
        <f t="shared" si="1"/>
        <v>950</v>
      </c>
      <c r="I21">
        <f t="shared" si="2"/>
        <v>510</v>
      </c>
      <c r="J21">
        <f t="shared" si="3"/>
        <v>288</v>
      </c>
      <c r="K21">
        <f t="shared" si="4"/>
        <v>-60</v>
      </c>
      <c r="L21">
        <f t="shared" si="5"/>
        <v>40</v>
      </c>
      <c r="M21">
        <f t="shared" si="6"/>
        <v>172</v>
      </c>
    </row>
    <row r="22" spans="2:15">
      <c r="B22">
        <f t="shared" si="7"/>
        <v>170</v>
      </c>
      <c r="C22">
        <f>+C20+10</f>
        <v>90</v>
      </c>
      <c r="E22" t="s">
        <v>261</v>
      </c>
      <c r="F22">
        <f>IF((240+420)/2&gt;($B22+$C22),($B22+$C22),(240+420)/2)</f>
        <v>260</v>
      </c>
      <c r="G22">
        <f t="shared" si="0"/>
        <v>0</v>
      </c>
      <c r="H22">
        <f t="shared" si="1"/>
        <v>1300</v>
      </c>
      <c r="I22">
        <f t="shared" si="2"/>
        <v>510</v>
      </c>
      <c r="J22">
        <f t="shared" si="3"/>
        <v>324</v>
      </c>
      <c r="K22">
        <f t="shared" si="4"/>
        <v>0</v>
      </c>
      <c r="L22">
        <f t="shared" si="5"/>
        <v>40</v>
      </c>
      <c r="M22">
        <f t="shared" si="6"/>
        <v>426</v>
      </c>
      <c r="N22">
        <f>M22*$N$2+M23*(1-$N$2)</f>
        <v>272</v>
      </c>
      <c r="O22" t="str">
        <f t="shared" ref="O22" si="15">B22&amp;"+"&amp;C22</f>
        <v>170+90</v>
      </c>
    </row>
    <row r="23" spans="2:15">
      <c r="B23">
        <f t="shared" si="7"/>
        <v>170</v>
      </c>
      <c r="C23">
        <f>C22</f>
        <v>90</v>
      </c>
      <c r="E23" t="s">
        <v>263</v>
      </c>
      <c r="F23">
        <f>IF((120+260)/2&gt;($B23+$C23),($B23+$C23),(120+260)/2)</f>
        <v>190</v>
      </c>
      <c r="G23">
        <f t="shared" si="0"/>
        <v>70</v>
      </c>
      <c r="H23">
        <f t="shared" si="1"/>
        <v>950</v>
      </c>
      <c r="I23">
        <f t="shared" si="2"/>
        <v>510</v>
      </c>
      <c r="J23">
        <f t="shared" si="3"/>
        <v>324</v>
      </c>
      <c r="K23">
        <f t="shared" si="4"/>
        <v>-70</v>
      </c>
      <c r="L23">
        <f t="shared" si="5"/>
        <v>40</v>
      </c>
      <c r="M23">
        <f t="shared" si="6"/>
        <v>146</v>
      </c>
    </row>
    <row r="24" spans="2:15">
      <c r="B24">
        <f t="shared" si="7"/>
        <v>170</v>
      </c>
      <c r="C24">
        <f>+C22+10</f>
        <v>100</v>
      </c>
      <c r="E24" t="s">
        <v>261</v>
      </c>
      <c r="F24">
        <f>IF((240+420)/2&gt;($B24+$C24),($B24+$C24),(240+420)/2)</f>
        <v>270</v>
      </c>
      <c r="G24">
        <f t="shared" si="0"/>
        <v>0</v>
      </c>
      <c r="H24">
        <f t="shared" si="1"/>
        <v>1350</v>
      </c>
      <c r="I24">
        <f t="shared" si="2"/>
        <v>510</v>
      </c>
      <c r="J24">
        <f t="shared" si="3"/>
        <v>360</v>
      </c>
      <c r="K24">
        <f t="shared" si="4"/>
        <v>0</v>
      </c>
      <c r="L24">
        <f t="shared" si="5"/>
        <v>40</v>
      </c>
      <c r="M24">
        <f t="shared" si="6"/>
        <v>440</v>
      </c>
      <c r="N24">
        <f>M24*$N$2+M25*(1-$N$2)</f>
        <v>264</v>
      </c>
      <c r="O24" t="str">
        <f t="shared" ref="O24" si="16">B24&amp;"+"&amp;C24</f>
        <v>170+100</v>
      </c>
    </row>
    <row r="25" spans="2:15">
      <c r="B25">
        <f t="shared" si="7"/>
        <v>170</v>
      </c>
      <c r="C25">
        <f>C24</f>
        <v>100</v>
      </c>
      <c r="E25" t="s">
        <v>263</v>
      </c>
      <c r="F25">
        <f>IF((120+260)/2&gt;($B25+$C25),($B25+$C25),(120+260)/2)</f>
        <v>190</v>
      </c>
      <c r="G25">
        <f t="shared" si="0"/>
        <v>80</v>
      </c>
      <c r="H25">
        <f t="shared" si="1"/>
        <v>950</v>
      </c>
      <c r="I25">
        <f t="shared" si="2"/>
        <v>510</v>
      </c>
      <c r="J25">
        <f t="shared" si="3"/>
        <v>360</v>
      </c>
      <c r="K25">
        <f t="shared" si="4"/>
        <v>-80</v>
      </c>
      <c r="L25">
        <f t="shared" si="5"/>
        <v>40</v>
      </c>
      <c r="M25">
        <f t="shared" si="6"/>
        <v>120</v>
      </c>
    </row>
    <row r="26" spans="2:15">
      <c r="B26">
        <f t="shared" si="7"/>
        <v>170</v>
      </c>
      <c r="C26">
        <f>+C24+10</f>
        <v>110</v>
      </c>
      <c r="E26" t="s">
        <v>261</v>
      </c>
      <c r="F26">
        <f>IF((240+420)/2&gt;($B26+$C26),($B26+$C26),(240+420)/2)</f>
        <v>280</v>
      </c>
      <c r="G26">
        <f t="shared" si="0"/>
        <v>0</v>
      </c>
      <c r="H26">
        <f t="shared" si="1"/>
        <v>1400</v>
      </c>
      <c r="I26">
        <f t="shared" si="2"/>
        <v>510</v>
      </c>
      <c r="J26">
        <f t="shared" si="3"/>
        <v>396</v>
      </c>
      <c r="K26">
        <f t="shared" si="4"/>
        <v>0</v>
      </c>
      <c r="L26">
        <f t="shared" si="5"/>
        <v>40</v>
      </c>
      <c r="M26">
        <f t="shared" si="6"/>
        <v>454</v>
      </c>
      <c r="N26">
        <f>M26*$N$2+M27*(1-$N$2)</f>
        <v>256</v>
      </c>
      <c r="O26" t="str">
        <f t="shared" ref="O26" si="17">B26&amp;"+"&amp;C26</f>
        <v>170+110</v>
      </c>
    </row>
    <row r="27" spans="2:15">
      <c r="B27">
        <f t="shared" si="7"/>
        <v>170</v>
      </c>
      <c r="C27">
        <f>C26</f>
        <v>110</v>
      </c>
      <c r="E27" t="s">
        <v>263</v>
      </c>
      <c r="F27">
        <f>IF((120+260)/2&gt;($B27+$C27),($B27+$C27),(120+260)/2)</f>
        <v>190</v>
      </c>
      <c r="G27">
        <f t="shared" si="0"/>
        <v>90</v>
      </c>
      <c r="H27">
        <f t="shared" si="1"/>
        <v>950</v>
      </c>
      <c r="I27">
        <f t="shared" si="2"/>
        <v>510</v>
      </c>
      <c r="J27">
        <f t="shared" si="3"/>
        <v>396</v>
      </c>
      <c r="K27">
        <f t="shared" si="4"/>
        <v>-90</v>
      </c>
      <c r="L27">
        <f t="shared" si="5"/>
        <v>40</v>
      </c>
      <c r="M27">
        <f t="shared" si="6"/>
        <v>94</v>
      </c>
    </row>
    <row r="28" spans="2:15">
      <c r="B28">
        <f t="shared" si="7"/>
        <v>170</v>
      </c>
      <c r="C28">
        <f>+C26+10</f>
        <v>120</v>
      </c>
      <c r="E28" t="s">
        <v>261</v>
      </c>
      <c r="F28">
        <f>IF((240+420)/2&gt;($B28+$C28),($B28+$C28),(240+420)/2)</f>
        <v>290</v>
      </c>
      <c r="G28">
        <f t="shared" si="0"/>
        <v>0</v>
      </c>
      <c r="H28">
        <f t="shared" si="1"/>
        <v>1450</v>
      </c>
      <c r="I28">
        <f t="shared" si="2"/>
        <v>510</v>
      </c>
      <c r="J28">
        <f t="shared" si="3"/>
        <v>432</v>
      </c>
      <c r="K28">
        <f t="shared" si="4"/>
        <v>0</v>
      </c>
      <c r="L28">
        <f t="shared" si="5"/>
        <v>40</v>
      </c>
      <c r="M28">
        <f t="shared" si="6"/>
        <v>468</v>
      </c>
      <c r="N28">
        <f>M28*$N$2+M29*(1-$N$2)</f>
        <v>248</v>
      </c>
      <c r="O28" t="str">
        <f t="shared" ref="O28" si="18">B28&amp;"+"&amp;C28</f>
        <v>170+120</v>
      </c>
    </row>
    <row r="29" spans="2:15">
      <c r="B29">
        <f t="shared" si="7"/>
        <v>170</v>
      </c>
      <c r="C29">
        <f>C28</f>
        <v>120</v>
      </c>
      <c r="E29" t="s">
        <v>263</v>
      </c>
      <c r="F29">
        <f>IF((120+260)/2&gt;($B29+$C29),($B29+$C29),(120+260)/2)</f>
        <v>190</v>
      </c>
      <c r="G29">
        <f t="shared" si="0"/>
        <v>100</v>
      </c>
      <c r="H29">
        <f t="shared" si="1"/>
        <v>950</v>
      </c>
      <c r="I29">
        <f t="shared" si="2"/>
        <v>510</v>
      </c>
      <c r="J29">
        <f t="shared" si="3"/>
        <v>432</v>
      </c>
      <c r="K29">
        <f t="shared" si="4"/>
        <v>-100</v>
      </c>
      <c r="L29">
        <f t="shared" si="5"/>
        <v>40</v>
      </c>
      <c r="M29">
        <f t="shared" si="6"/>
        <v>68</v>
      </c>
    </row>
    <row r="30" spans="2:15">
      <c r="B30">
        <f t="shared" si="7"/>
        <v>170</v>
      </c>
      <c r="C30">
        <f>+C28+10</f>
        <v>130</v>
      </c>
      <c r="E30" t="s">
        <v>261</v>
      </c>
      <c r="F30">
        <f>IF((240+420)/2&gt;($B30+$C30),($B30+$C30),(240+420)/2)</f>
        <v>300</v>
      </c>
      <c r="G30">
        <f t="shared" si="0"/>
        <v>0</v>
      </c>
      <c r="H30">
        <f t="shared" si="1"/>
        <v>1500</v>
      </c>
      <c r="I30">
        <f t="shared" si="2"/>
        <v>510</v>
      </c>
      <c r="J30">
        <f t="shared" si="3"/>
        <v>468</v>
      </c>
      <c r="K30">
        <f t="shared" si="4"/>
        <v>0</v>
      </c>
      <c r="L30">
        <f t="shared" si="5"/>
        <v>40</v>
      </c>
      <c r="M30">
        <f t="shared" si="6"/>
        <v>482</v>
      </c>
      <c r="N30">
        <f>M30*$N$2+M31*(1-$N$2)</f>
        <v>240</v>
      </c>
      <c r="O30" t="str">
        <f t="shared" ref="O30" si="19">B30&amp;"+"&amp;C30</f>
        <v>170+130</v>
      </c>
    </row>
    <row r="31" spans="2:15">
      <c r="B31">
        <f t="shared" si="7"/>
        <v>170</v>
      </c>
      <c r="C31">
        <f>C30</f>
        <v>130</v>
      </c>
      <c r="E31" t="s">
        <v>263</v>
      </c>
      <c r="F31">
        <f>IF((120+260)/2&gt;($B31+$C31),($B31+$C31),(120+260)/2)</f>
        <v>190</v>
      </c>
      <c r="G31">
        <f t="shared" si="0"/>
        <v>110</v>
      </c>
      <c r="H31">
        <f t="shared" si="1"/>
        <v>950</v>
      </c>
      <c r="I31">
        <f t="shared" si="2"/>
        <v>510</v>
      </c>
      <c r="J31">
        <f t="shared" si="3"/>
        <v>468</v>
      </c>
      <c r="K31">
        <f t="shared" si="4"/>
        <v>-110</v>
      </c>
      <c r="L31">
        <f t="shared" si="5"/>
        <v>40</v>
      </c>
      <c r="M31">
        <f t="shared" si="6"/>
        <v>42</v>
      </c>
    </row>
    <row r="32" spans="2:15">
      <c r="B32">
        <f t="shared" si="7"/>
        <v>170</v>
      </c>
      <c r="C32">
        <f>+C30+10</f>
        <v>140</v>
      </c>
      <c r="E32" t="s">
        <v>261</v>
      </c>
      <c r="F32">
        <f>IF((240+420)/2&gt;($B32+$C32),($B32+$C32),(240+420)/2)</f>
        <v>310</v>
      </c>
      <c r="G32">
        <f t="shared" si="0"/>
        <v>0</v>
      </c>
      <c r="H32">
        <f t="shared" si="1"/>
        <v>1550</v>
      </c>
      <c r="I32">
        <f t="shared" si="2"/>
        <v>510</v>
      </c>
      <c r="J32">
        <f t="shared" si="3"/>
        <v>504</v>
      </c>
      <c r="K32">
        <f t="shared" si="4"/>
        <v>0</v>
      </c>
      <c r="L32">
        <f t="shared" si="5"/>
        <v>40</v>
      </c>
      <c r="M32">
        <f t="shared" si="6"/>
        <v>496</v>
      </c>
      <c r="N32">
        <f>M32*$N$2+M33*(1-$N$2)</f>
        <v>232.00000000000003</v>
      </c>
      <c r="O32" t="str">
        <f t="shared" ref="O32" si="20">B32&amp;"+"&amp;C32</f>
        <v>170+140</v>
      </c>
    </row>
    <row r="33" spans="2:15">
      <c r="B33">
        <f t="shared" si="7"/>
        <v>170</v>
      </c>
      <c r="C33">
        <f>C32</f>
        <v>140</v>
      </c>
      <c r="E33" t="s">
        <v>263</v>
      </c>
      <c r="F33">
        <f>IF((120+260)/2&gt;($B33+$C33),($B33+$C33),(120+260)/2)</f>
        <v>190</v>
      </c>
      <c r="G33">
        <f t="shared" si="0"/>
        <v>120</v>
      </c>
      <c r="H33">
        <f t="shared" si="1"/>
        <v>950</v>
      </c>
      <c r="I33">
        <f t="shared" si="2"/>
        <v>510</v>
      </c>
      <c r="J33">
        <f t="shared" si="3"/>
        <v>504</v>
      </c>
      <c r="K33">
        <f t="shared" si="4"/>
        <v>-120</v>
      </c>
      <c r="L33">
        <f t="shared" si="5"/>
        <v>40</v>
      </c>
      <c r="M33">
        <f t="shared" si="6"/>
        <v>16</v>
      </c>
    </row>
    <row r="34" spans="2:15">
      <c r="B34">
        <f t="shared" si="7"/>
        <v>170</v>
      </c>
      <c r="C34">
        <f>+C32+10</f>
        <v>150</v>
      </c>
      <c r="E34" t="s">
        <v>261</v>
      </c>
      <c r="F34">
        <f>IF((240+420)/2&gt;($B34+$C34),($B34+$C34),(240+420)/2)</f>
        <v>320</v>
      </c>
      <c r="G34">
        <f t="shared" si="0"/>
        <v>0</v>
      </c>
      <c r="H34">
        <f t="shared" si="1"/>
        <v>1600</v>
      </c>
      <c r="I34">
        <f t="shared" si="2"/>
        <v>510</v>
      </c>
      <c r="J34">
        <f t="shared" si="3"/>
        <v>540</v>
      </c>
      <c r="K34">
        <f t="shared" si="4"/>
        <v>0</v>
      </c>
      <c r="L34">
        <f t="shared" si="5"/>
        <v>40</v>
      </c>
      <c r="M34">
        <f t="shared" si="6"/>
        <v>510</v>
      </c>
      <c r="N34">
        <f>M34*$N$2+M35*(1-$N$2)</f>
        <v>224</v>
      </c>
      <c r="O34" t="str">
        <f t="shared" ref="O34" si="21">B34&amp;"+"&amp;C34</f>
        <v>170+150</v>
      </c>
    </row>
    <row r="35" spans="2:15">
      <c r="B35">
        <f t="shared" si="7"/>
        <v>170</v>
      </c>
      <c r="C35">
        <f>C34</f>
        <v>150</v>
      </c>
      <c r="E35" t="s">
        <v>263</v>
      </c>
      <c r="F35">
        <f>IF((120+260)/2&gt;($B35+$C35),($B35+$C35),(120+260)/2)</f>
        <v>190</v>
      </c>
      <c r="G35">
        <f t="shared" si="0"/>
        <v>130</v>
      </c>
      <c r="H35">
        <f t="shared" si="1"/>
        <v>950</v>
      </c>
      <c r="I35">
        <f t="shared" si="2"/>
        <v>510</v>
      </c>
      <c r="J35">
        <f t="shared" si="3"/>
        <v>540</v>
      </c>
      <c r="K35">
        <f t="shared" si="4"/>
        <v>-130</v>
      </c>
      <c r="L35">
        <f t="shared" si="5"/>
        <v>40</v>
      </c>
      <c r="M35">
        <f t="shared" si="6"/>
        <v>-10</v>
      </c>
    </row>
    <row r="36" spans="2:15">
      <c r="B36">
        <f t="shared" si="7"/>
        <v>170</v>
      </c>
      <c r="C36">
        <f>+C34+10</f>
        <v>160</v>
      </c>
      <c r="E36" t="s">
        <v>261</v>
      </c>
      <c r="F36">
        <f>IF((240+420)/2&gt;($B36+$C36),($B36+$C36),(240+420)/2)</f>
        <v>330</v>
      </c>
      <c r="G36">
        <f t="shared" si="0"/>
        <v>0</v>
      </c>
      <c r="H36">
        <f t="shared" si="1"/>
        <v>1650</v>
      </c>
      <c r="I36">
        <f t="shared" si="2"/>
        <v>510</v>
      </c>
      <c r="J36">
        <f t="shared" si="3"/>
        <v>576</v>
      </c>
      <c r="K36">
        <f t="shared" si="4"/>
        <v>0</v>
      </c>
      <c r="L36">
        <f t="shared" si="5"/>
        <v>40</v>
      </c>
      <c r="M36">
        <f t="shared" si="6"/>
        <v>524</v>
      </c>
      <c r="N36">
        <f>M36*$N$2+M37*(1-$N$2)</f>
        <v>216</v>
      </c>
      <c r="O36" t="str">
        <f t="shared" ref="O36" si="22">B36&amp;"+"&amp;C36</f>
        <v>170+160</v>
      </c>
    </row>
    <row r="37" spans="2:15">
      <c r="B37">
        <f t="shared" si="7"/>
        <v>170</v>
      </c>
      <c r="C37">
        <f>C36</f>
        <v>160</v>
      </c>
      <c r="E37" t="s">
        <v>263</v>
      </c>
      <c r="F37">
        <f>IF((120+260)/2&gt;($B37+$C37),($B37+$C37),(120+260)/2)</f>
        <v>190</v>
      </c>
      <c r="G37">
        <f t="shared" si="0"/>
        <v>140</v>
      </c>
      <c r="H37">
        <f t="shared" si="1"/>
        <v>950</v>
      </c>
      <c r="I37">
        <f t="shared" si="2"/>
        <v>510</v>
      </c>
      <c r="J37">
        <f t="shared" si="3"/>
        <v>576</v>
      </c>
      <c r="K37">
        <f t="shared" si="4"/>
        <v>-140</v>
      </c>
      <c r="L37">
        <f t="shared" si="5"/>
        <v>40</v>
      </c>
      <c r="M37">
        <f t="shared" si="6"/>
        <v>-36</v>
      </c>
    </row>
    <row r="38" spans="2:15">
      <c r="B38">
        <f t="shared" si="7"/>
        <v>170</v>
      </c>
      <c r="C38">
        <f>+C36+10</f>
        <v>170</v>
      </c>
      <c r="E38" t="s">
        <v>261</v>
      </c>
      <c r="F38">
        <f>IF((240+420)/2&gt;($B38+$C38),($B38+$C38),(240+420)/2)</f>
        <v>330</v>
      </c>
      <c r="G38">
        <f t="shared" si="0"/>
        <v>10</v>
      </c>
      <c r="H38">
        <f t="shared" si="1"/>
        <v>1650</v>
      </c>
      <c r="I38">
        <f t="shared" si="2"/>
        <v>510</v>
      </c>
      <c r="J38">
        <f t="shared" si="3"/>
        <v>612</v>
      </c>
      <c r="K38">
        <f t="shared" si="4"/>
        <v>-10</v>
      </c>
      <c r="L38">
        <f t="shared" si="5"/>
        <v>40</v>
      </c>
      <c r="M38">
        <f t="shared" si="6"/>
        <v>498</v>
      </c>
      <c r="N38">
        <f>M38*$N$2+M39*(1-$N$2)</f>
        <v>190</v>
      </c>
      <c r="O38" t="str">
        <f t="shared" ref="O38" si="23">B38&amp;"+"&amp;C38</f>
        <v>170+170</v>
      </c>
    </row>
    <row r="39" spans="2:15">
      <c r="B39">
        <f t="shared" si="7"/>
        <v>170</v>
      </c>
      <c r="C39">
        <f>C38</f>
        <v>170</v>
      </c>
      <c r="E39" t="s">
        <v>263</v>
      </c>
      <c r="F39">
        <f>IF((120+260)/2&gt;($B39+$C39),($B39+$C39),(120+260)/2)</f>
        <v>190</v>
      </c>
      <c r="G39">
        <f t="shared" si="0"/>
        <v>150</v>
      </c>
      <c r="H39">
        <f t="shared" si="1"/>
        <v>950</v>
      </c>
      <c r="I39">
        <f t="shared" si="2"/>
        <v>510</v>
      </c>
      <c r="J39">
        <f t="shared" si="3"/>
        <v>612</v>
      </c>
      <c r="K39">
        <f t="shared" si="4"/>
        <v>-150</v>
      </c>
      <c r="L39">
        <f t="shared" si="5"/>
        <v>40</v>
      </c>
      <c r="M39">
        <f t="shared" si="6"/>
        <v>-62</v>
      </c>
    </row>
    <row r="40" spans="2:15">
      <c r="B40">
        <f t="shared" si="7"/>
        <v>170</v>
      </c>
      <c r="C40">
        <f>+C38+10</f>
        <v>180</v>
      </c>
      <c r="E40" t="s">
        <v>261</v>
      </c>
      <c r="F40">
        <f>IF((240+420)/2&gt;($B40+$C40),($B40+$C40),(240+420)/2)</f>
        <v>330</v>
      </c>
      <c r="G40">
        <f t="shared" si="0"/>
        <v>20</v>
      </c>
      <c r="H40">
        <f t="shared" si="1"/>
        <v>1650</v>
      </c>
      <c r="I40">
        <f t="shared" si="2"/>
        <v>510</v>
      </c>
      <c r="J40">
        <f t="shared" si="3"/>
        <v>648</v>
      </c>
      <c r="K40">
        <f t="shared" si="4"/>
        <v>-20</v>
      </c>
      <c r="L40">
        <f t="shared" si="5"/>
        <v>40</v>
      </c>
      <c r="M40">
        <f t="shared" si="6"/>
        <v>472</v>
      </c>
      <c r="N40">
        <f>M40*$N$2+M41*(1-$N$2)</f>
        <v>164</v>
      </c>
      <c r="O40" t="str">
        <f t="shared" ref="O40" si="24">B40&amp;"+"&amp;C40</f>
        <v>170+180</v>
      </c>
    </row>
    <row r="41" spans="2:15">
      <c r="B41">
        <f t="shared" si="7"/>
        <v>170</v>
      </c>
      <c r="C41">
        <f>C40</f>
        <v>180</v>
      </c>
      <c r="E41" t="s">
        <v>263</v>
      </c>
      <c r="F41">
        <f>IF((120+260)/2&gt;($B41+$C41),($B41+$C41),(120+260)/2)</f>
        <v>190</v>
      </c>
      <c r="G41">
        <f t="shared" si="0"/>
        <v>160</v>
      </c>
      <c r="H41">
        <f t="shared" si="1"/>
        <v>950</v>
      </c>
      <c r="I41">
        <f t="shared" si="2"/>
        <v>510</v>
      </c>
      <c r="J41">
        <f t="shared" si="3"/>
        <v>648</v>
      </c>
      <c r="K41">
        <f t="shared" si="4"/>
        <v>-160</v>
      </c>
      <c r="L41">
        <f t="shared" si="5"/>
        <v>40</v>
      </c>
      <c r="M41">
        <f t="shared" si="6"/>
        <v>-88</v>
      </c>
    </row>
    <row r="42" spans="2:15">
      <c r="B42">
        <f t="shared" si="7"/>
        <v>170</v>
      </c>
      <c r="C42">
        <f>+C40+10</f>
        <v>190</v>
      </c>
      <c r="E42" t="s">
        <v>261</v>
      </c>
      <c r="F42">
        <f>IF((240+420)/2&gt;($B42+$C42),($B42+$C42),(240+420)/2)</f>
        <v>330</v>
      </c>
      <c r="G42">
        <f t="shared" si="0"/>
        <v>30</v>
      </c>
      <c r="H42">
        <f t="shared" si="1"/>
        <v>1650</v>
      </c>
      <c r="I42">
        <f t="shared" si="2"/>
        <v>510</v>
      </c>
      <c r="J42">
        <f t="shared" si="3"/>
        <v>684</v>
      </c>
      <c r="K42">
        <f t="shared" si="4"/>
        <v>-30</v>
      </c>
      <c r="L42">
        <f t="shared" si="5"/>
        <v>40</v>
      </c>
      <c r="M42">
        <f t="shared" si="6"/>
        <v>446</v>
      </c>
      <c r="N42">
        <f>M42*$N$2+M43*(1-$N$2)</f>
        <v>138</v>
      </c>
      <c r="O42" t="str">
        <f t="shared" ref="O42" si="25">B42&amp;"+"&amp;C42</f>
        <v>170+190</v>
      </c>
    </row>
    <row r="43" spans="2:15">
      <c r="B43">
        <f t="shared" si="7"/>
        <v>170</v>
      </c>
      <c r="C43">
        <f>C42</f>
        <v>190</v>
      </c>
      <c r="E43" t="s">
        <v>263</v>
      </c>
      <c r="F43">
        <f>IF((120+260)/2&gt;($B43+$C43),($B43+$C43),(120+260)/2)</f>
        <v>190</v>
      </c>
      <c r="G43">
        <f t="shared" si="0"/>
        <v>170</v>
      </c>
      <c r="H43">
        <f t="shared" si="1"/>
        <v>950</v>
      </c>
      <c r="I43">
        <f t="shared" si="2"/>
        <v>510</v>
      </c>
      <c r="J43">
        <f t="shared" si="3"/>
        <v>684</v>
      </c>
      <c r="K43">
        <f t="shared" si="4"/>
        <v>-170</v>
      </c>
      <c r="L43">
        <f t="shared" si="5"/>
        <v>40</v>
      </c>
      <c r="M43">
        <f t="shared" si="6"/>
        <v>-114</v>
      </c>
    </row>
    <row r="44" spans="2:15">
      <c r="B44">
        <f t="shared" si="7"/>
        <v>170</v>
      </c>
      <c r="C44">
        <f>+C42+10</f>
        <v>200</v>
      </c>
      <c r="E44" t="s">
        <v>261</v>
      </c>
      <c r="F44">
        <f>IF((240+420)/2&gt;($B44+$C44),($B44+$C44),(240+420)/2)</f>
        <v>330</v>
      </c>
      <c r="G44">
        <f t="shared" si="0"/>
        <v>40</v>
      </c>
      <c r="H44">
        <f t="shared" si="1"/>
        <v>1650</v>
      </c>
      <c r="I44">
        <f t="shared" si="2"/>
        <v>510</v>
      </c>
      <c r="J44">
        <f t="shared" si="3"/>
        <v>720</v>
      </c>
      <c r="K44">
        <f t="shared" si="4"/>
        <v>-40</v>
      </c>
      <c r="L44">
        <f t="shared" si="5"/>
        <v>40</v>
      </c>
      <c r="M44">
        <f t="shared" si="6"/>
        <v>420</v>
      </c>
      <c r="N44">
        <f>M44*$N$2+M45*(1-$N$2)</f>
        <v>112</v>
      </c>
      <c r="O44" t="str">
        <f t="shared" ref="O44" si="26">B44&amp;"+"&amp;C44</f>
        <v>170+200</v>
      </c>
    </row>
    <row r="45" spans="2:15">
      <c r="B45">
        <f t="shared" si="7"/>
        <v>170</v>
      </c>
      <c r="C45">
        <f>C44</f>
        <v>200</v>
      </c>
      <c r="E45" t="s">
        <v>263</v>
      </c>
      <c r="F45">
        <f>IF((120+260)/2&gt;($B45+$C45),($B45+$C45),(120+260)/2)</f>
        <v>190</v>
      </c>
      <c r="G45">
        <f t="shared" si="0"/>
        <v>180</v>
      </c>
      <c r="H45">
        <f t="shared" si="1"/>
        <v>950</v>
      </c>
      <c r="I45">
        <f t="shared" si="2"/>
        <v>510</v>
      </c>
      <c r="J45">
        <f t="shared" si="3"/>
        <v>720</v>
      </c>
      <c r="K45">
        <f t="shared" si="4"/>
        <v>-180</v>
      </c>
      <c r="L45">
        <f t="shared" si="5"/>
        <v>40</v>
      </c>
      <c r="M45">
        <f t="shared" si="6"/>
        <v>-140</v>
      </c>
    </row>
  </sheetData>
  <sheetProtection sheet="1" objects="1" scenarios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21DE-D800-4C40-AD5F-6BEECA41CEB6}">
  <sheetPr codeName="Sheet10"/>
  <dimension ref="A1:Q55"/>
  <sheetViews>
    <sheetView zoomScale="62" zoomScaleNormal="62" workbookViewId="0">
      <selection activeCell="AE12" sqref="AE12"/>
    </sheetView>
  </sheetViews>
  <sheetFormatPr defaultColWidth="11" defaultRowHeight="15.75"/>
  <sheetData>
    <row r="1" spans="1:17">
      <c r="M1" s="80" t="s">
        <v>270</v>
      </c>
    </row>
    <row r="2" spans="1:17">
      <c r="H2">
        <v>5</v>
      </c>
      <c r="I2">
        <v>3</v>
      </c>
      <c r="J2">
        <v>3.6</v>
      </c>
      <c r="M2" s="81" t="s">
        <v>269</v>
      </c>
      <c r="N2" s="81">
        <v>0.8</v>
      </c>
    </row>
    <row r="3" spans="1:17">
      <c r="B3" t="s">
        <v>260</v>
      </c>
      <c r="C3" t="s">
        <v>259</v>
      </c>
      <c r="E3" t="s">
        <v>262</v>
      </c>
      <c r="G3" t="s">
        <v>237</v>
      </c>
      <c r="H3" t="s">
        <v>31</v>
      </c>
      <c r="I3" t="s">
        <v>265</v>
      </c>
      <c r="J3" t="s">
        <v>265</v>
      </c>
      <c r="K3" t="s">
        <v>264</v>
      </c>
      <c r="L3" t="s">
        <v>266</v>
      </c>
      <c r="M3" t="s">
        <v>225</v>
      </c>
      <c r="N3" t="s">
        <v>267</v>
      </c>
      <c r="O3" t="s">
        <v>268</v>
      </c>
    </row>
    <row r="4" spans="1:17">
      <c r="A4">
        <v>1</v>
      </c>
      <c r="B4" s="82">
        <v>330</v>
      </c>
      <c r="C4">
        <v>0</v>
      </c>
      <c r="E4" t="s">
        <v>261</v>
      </c>
      <c r="F4">
        <f>IF((240+420)/2&gt;($B4+$C4),($B4+$C4),(240+420)/2)</f>
        <v>330</v>
      </c>
      <c r="G4">
        <f t="shared" ref="G4:G35" si="0">C4+B4-F4</f>
        <v>0</v>
      </c>
      <c r="H4">
        <f t="shared" ref="H4:H35" si="1">F4*$H$2</f>
        <v>1650</v>
      </c>
      <c r="I4">
        <f t="shared" ref="I4:I35" si="2">$I$2*B4</f>
        <v>990</v>
      </c>
      <c r="J4">
        <f t="shared" ref="J4:J35" si="3">$J$2*C4</f>
        <v>0</v>
      </c>
      <c r="K4">
        <f t="shared" ref="K4:K35" si="4">-G4*3*0.5+0.5*G4</f>
        <v>0</v>
      </c>
      <c r="L4">
        <f t="shared" ref="L4:L35" si="5">2*20</f>
        <v>40</v>
      </c>
      <c r="M4">
        <f t="shared" ref="M4:M35" si="6">H4-SUM(I4:L4)</f>
        <v>620</v>
      </c>
      <c r="N4">
        <f>M4*$N$2+M5*(1-$N$2)</f>
        <v>508</v>
      </c>
      <c r="O4" t="str">
        <f>B4&amp;"+"&amp;C4</f>
        <v>330+0</v>
      </c>
      <c r="P4">
        <f>N4*N2</f>
        <v>406.40000000000003</v>
      </c>
    </row>
    <row r="5" spans="1:17">
      <c r="B5">
        <f>B4</f>
        <v>330</v>
      </c>
      <c r="C5">
        <f>C4</f>
        <v>0</v>
      </c>
      <c r="E5" t="s">
        <v>263</v>
      </c>
      <c r="F5">
        <f>IF((120+260)/2&gt;($B5+$C5),($B5+$C5),(120+260)/2)</f>
        <v>190</v>
      </c>
      <c r="G5">
        <f t="shared" si="0"/>
        <v>140</v>
      </c>
      <c r="H5">
        <f t="shared" si="1"/>
        <v>950</v>
      </c>
      <c r="I5">
        <f t="shared" si="2"/>
        <v>990</v>
      </c>
      <c r="J5">
        <f t="shared" si="3"/>
        <v>0</v>
      </c>
      <c r="K5">
        <f t="shared" si="4"/>
        <v>-140</v>
      </c>
      <c r="L5">
        <f t="shared" si="5"/>
        <v>40</v>
      </c>
      <c r="M5">
        <f t="shared" si="6"/>
        <v>60</v>
      </c>
      <c r="Q5">
        <v>170</v>
      </c>
    </row>
    <row r="6" spans="1:17">
      <c r="A6">
        <f>A4+2</f>
        <v>3</v>
      </c>
      <c r="B6">
        <f>B5</f>
        <v>330</v>
      </c>
      <c r="C6">
        <f>+C4+10</f>
        <v>10</v>
      </c>
      <c r="E6" t="s">
        <v>261</v>
      </c>
      <c r="F6">
        <f>IF((240+420)/2&gt;($B6+$C6),($B6+$C6),(240+420)/2)</f>
        <v>330</v>
      </c>
      <c r="G6">
        <f t="shared" si="0"/>
        <v>10</v>
      </c>
      <c r="H6">
        <f t="shared" si="1"/>
        <v>1650</v>
      </c>
      <c r="I6">
        <f t="shared" si="2"/>
        <v>990</v>
      </c>
      <c r="J6">
        <f t="shared" si="3"/>
        <v>36</v>
      </c>
      <c r="K6">
        <f t="shared" si="4"/>
        <v>-10</v>
      </c>
      <c r="L6">
        <f t="shared" si="5"/>
        <v>40</v>
      </c>
      <c r="M6">
        <f t="shared" si="6"/>
        <v>594</v>
      </c>
      <c r="N6">
        <f>M6*$N$2+M7*(1-$N$2)</f>
        <v>482.00000000000006</v>
      </c>
      <c r="O6" t="str">
        <f>B6&amp;"+"&amp;C6</f>
        <v>330+10</v>
      </c>
      <c r="Q6">
        <f>Q5+10</f>
        <v>180</v>
      </c>
    </row>
    <row r="7" spans="1:17">
      <c r="B7">
        <f t="shared" ref="B7:B45" si="7">B6</f>
        <v>330</v>
      </c>
      <c r="C7">
        <f>C6</f>
        <v>10</v>
      </c>
      <c r="E7" t="s">
        <v>263</v>
      </c>
      <c r="F7">
        <f>IF((120+260)/2&gt;($B7+$C7),($B7+$C7),(120+260)/2)</f>
        <v>190</v>
      </c>
      <c r="G7">
        <f t="shared" si="0"/>
        <v>150</v>
      </c>
      <c r="H7">
        <f t="shared" si="1"/>
        <v>950</v>
      </c>
      <c r="I7">
        <f t="shared" si="2"/>
        <v>990</v>
      </c>
      <c r="J7">
        <f t="shared" si="3"/>
        <v>36</v>
      </c>
      <c r="K7">
        <f t="shared" si="4"/>
        <v>-150</v>
      </c>
      <c r="L7">
        <f t="shared" si="5"/>
        <v>40</v>
      </c>
      <c r="M7">
        <f t="shared" si="6"/>
        <v>34</v>
      </c>
      <c r="Q7">
        <f t="shared" ref="Q7:Q30" si="8">Q6+10</f>
        <v>190</v>
      </c>
    </row>
    <row r="8" spans="1:17">
      <c r="A8">
        <f>A6+2</f>
        <v>5</v>
      </c>
      <c r="B8">
        <f t="shared" si="7"/>
        <v>330</v>
      </c>
      <c r="C8">
        <f>+C6+10</f>
        <v>20</v>
      </c>
      <c r="E8" t="s">
        <v>261</v>
      </c>
      <c r="F8">
        <f>IF((240+420)/2&gt;($B8+$C8),($B8+$C8),(240+420)/2)</f>
        <v>330</v>
      </c>
      <c r="G8">
        <f t="shared" si="0"/>
        <v>20</v>
      </c>
      <c r="H8">
        <f t="shared" si="1"/>
        <v>1650</v>
      </c>
      <c r="I8">
        <f t="shared" si="2"/>
        <v>990</v>
      </c>
      <c r="J8">
        <f t="shared" si="3"/>
        <v>72</v>
      </c>
      <c r="K8">
        <f t="shared" si="4"/>
        <v>-20</v>
      </c>
      <c r="L8">
        <f t="shared" si="5"/>
        <v>40</v>
      </c>
      <c r="M8">
        <f t="shared" si="6"/>
        <v>568</v>
      </c>
      <c r="N8">
        <f>M8*$N$2+M9*(1-$N$2)</f>
        <v>456.00000000000006</v>
      </c>
      <c r="O8" t="str">
        <f t="shared" ref="O8" si="9">B8&amp;"+"&amp;C8</f>
        <v>330+20</v>
      </c>
      <c r="Q8">
        <f t="shared" si="8"/>
        <v>200</v>
      </c>
    </row>
    <row r="9" spans="1:17">
      <c r="B9">
        <f t="shared" si="7"/>
        <v>330</v>
      </c>
      <c r="C9">
        <f>C8</f>
        <v>20</v>
      </c>
      <c r="E9" t="s">
        <v>263</v>
      </c>
      <c r="F9">
        <f>IF((120+260)/2&gt;($B9+$C9),($B9+$C9),(120+260)/2)</f>
        <v>190</v>
      </c>
      <c r="G9">
        <f t="shared" si="0"/>
        <v>160</v>
      </c>
      <c r="H9">
        <f t="shared" si="1"/>
        <v>950</v>
      </c>
      <c r="I9">
        <f t="shared" si="2"/>
        <v>990</v>
      </c>
      <c r="J9">
        <f t="shared" si="3"/>
        <v>72</v>
      </c>
      <c r="K9">
        <f t="shared" si="4"/>
        <v>-160</v>
      </c>
      <c r="L9">
        <f t="shared" si="5"/>
        <v>40</v>
      </c>
      <c r="M9">
        <f t="shared" si="6"/>
        <v>8</v>
      </c>
      <c r="Q9">
        <f t="shared" si="8"/>
        <v>210</v>
      </c>
    </row>
    <row r="10" spans="1:17">
      <c r="A10">
        <f t="shared" ref="A10" si="10">A8+2</f>
        <v>7</v>
      </c>
      <c r="B10">
        <f>B9</f>
        <v>330</v>
      </c>
      <c r="C10">
        <f>+C8+10</f>
        <v>30</v>
      </c>
      <c r="E10" t="s">
        <v>261</v>
      </c>
      <c r="F10">
        <f>IF((240+420)/2&gt;($B10+$C10),($B10+$C10),(240+420)/2)</f>
        <v>330</v>
      </c>
      <c r="G10">
        <f t="shared" si="0"/>
        <v>30</v>
      </c>
      <c r="H10">
        <f t="shared" si="1"/>
        <v>1650</v>
      </c>
      <c r="I10">
        <f t="shared" si="2"/>
        <v>990</v>
      </c>
      <c r="J10">
        <f t="shared" si="3"/>
        <v>108</v>
      </c>
      <c r="K10">
        <f t="shared" si="4"/>
        <v>-30</v>
      </c>
      <c r="L10">
        <f t="shared" si="5"/>
        <v>40</v>
      </c>
      <c r="M10">
        <f t="shared" si="6"/>
        <v>542</v>
      </c>
      <c r="N10">
        <f>M10*$N$2+M11*(1-$N$2)</f>
        <v>430</v>
      </c>
      <c r="O10" t="str">
        <f t="shared" ref="O10" si="11">B10&amp;"+"&amp;C10</f>
        <v>330+30</v>
      </c>
      <c r="Q10">
        <f t="shared" si="8"/>
        <v>220</v>
      </c>
    </row>
    <row r="11" spans="1:17">
      <c r="B11">
        <f t="shared" si="7"/>
        <v>330</v>
      </c>
      <c r="C11">
        <f>C10</f>
        <v>30</v>
      </c>
      <c r="E11" t="s">
        <v>263</v>
      </c>
      <c r="F11">
        <f>IF((120+260)/2&gt;($B11+$C11),($B11+$C11),(120+260)/2)</f>
        <v>190</v>
      </c>
      <c r="G11">
        <f t="shared" si="0"/>
        <v>170</v>
      </c>
      <c r="H11">
        <f t="shared" si="1"/>
        <v>950</v>
      </c>
      <c r="I11">
        <f t="shared" si="2"/>
        <v>990</v>
      </c>
      <c r="J11">
        <f t="shared" si="3"/>
        <v>108</v>
      </c>
      <c r="K11">
        <f t="shared" si="4"/>
        <v>-170</v>
      </c>
      <c r="L11">
        <f t="shared" si="5"/>
        <v>40</v>
      </c>
      <c r="M11">
        <f t="shared" si="6"/>
        <v>-18</v>
      </c>
      <c r="Q11">
        <f t="shared" si="8"/>
        <v>230</v>
      </c>
    </row>
    <row r="12" spans="1:17">
      <c r="A12">
        <f t="shared" ref="A12" si="12">A10+2</f>
        <v>9</v>
      </c>
      <c r="B12">
        <f t="shared" si="7"/>
        <v>330</v>
      </c>
      <c r="C12">
        <f>+C10+10</f>
        <v>40</v>
      </c>
      <c r="E12" t="s">
        <v>261</v>
      </c>
      <c r="F12">
        <f>IF((240+420)/2&gt;($B12+$C12),($B12+$C12),(240+420)/2)</f>
        <v>330</v>
      </c>
      <c r="G12">
        <f t="shared" si="0"/>
        <v>40</v>
      </c>
      <c r="H12">
        <f t="shared" si="1"/>
        <v>1650</v>
      </c>
      <c r="I12">
        <f t="shared" si="2"/>
        <v>990</v>
      </c>
      <c r="J12">
        <f t="shared" si="3"/>
        <v>144</v>
      </c>
      <c r="K12">
        <f t="shared" si="4"/>
        <v>-40</v>
      </c>
      <c r="L12">
        <f t="shared" si="5"/>
        <v>40</v>
      </c>
      <c r="M12">
        <f t="shared" si="6"/>
        <v>516</v>
      </c>
      <c r="N12">
        <f>M12*$N$2+M13*(1-$N$2)</f>
        <v>404</v>
      </c>
      <c r="O12" t="str">
        <f t="shared" ref="O12" si="13">B12&amp;"+"&amp;C12</f>
        <v>330+40</v>
      </c>
      <c r="Q12">
        <f t="shared" si="8"/>
        <v>240</v>
      </c>
    </row>
    <row r="13" spans="1:17">
      <c r="B13">
        <f t="shared" si="7"/>
        <v>330</v>
      </c>
      <c r="C13">
        <f>C12</f>
        <v>40</v>
      </c>
      <c r="E13" t="s">
        <v>263</v>
      </c>
      <c r="F13">
        <f>IF((120+260)/2&gt;($B13+$C13),($B13+$C13),(120+260)/2)</f>
        <v>190</v>
      </c>
      <c r="G13">
        <f t="shared" si="0"/>
        <v>180</v>
      </c>
      <c r="H13">
        <f t="shared" si="1"/>
        <v>950</v>
      </c>
      <c r="I13">
        <f t="shared" si="2"/>
        <v>990</v>
      </c>
      <c r="J13">
        <f t="shared" si="3"/>
        <v>144</v>
      </c>
      <c r="K13">
        <f t="shared" si="4"/>
        <v>-180</v>
      </c>
      <c r="L13">
        <f t="shared" si="5"/>
        <v>40</v>
      </c>
      <c r="M13">
        <f t="shared" si="6"/>
        <v>-44</v>
      </c>
      <c r="Q13">
        <f t="shared" si="8"/>
        <v>250</v>
      </c>
    </row>
    <row r="14" spans="1:17">
      <c r="A14">
        <f t="shared" ref="A14" si="14">A12+2</f>
        <v>11</v>
      </c>
      <c r="B14">
        <f t="shared" si="7"/>
        <v>330</v>
      </c>
      <c r="C14">
        <f>+C12+10</f>
        <v>50</v>
      </c>
      <c r="E14" t="s">
        <v>261</v>
      </c>
      <c r="F14">
        <f>IF((240+420)/2&gt;($B14+$C14),($B14+$C14),(240+420)/2)</f>
        <v>330</v>
      </c>
      <c r="G14">
        <f t="shared" si="0"/>
        <v>50</v>
      </c>
      <c r="H14">
        <f t="shared" si="1"/>
        <v>1650</v>
      </c>
      <c r="I14">
        <f t="shared" si="2"/>
        <v>990</v>
      </c>
      <c r="J14">
        <f t="shared" si="3"/>
        <v>180</v>
      </c>
      <c r="K14">
        <f t="shared" si="4"/>
        <v>-50</v>
      </c>
      <c r="L14">
        <f t="shared" si="5"/>
        <v>40</v>
      </c>
      <c r="M14">
        <f t="shared" si="6"/>
        <v>490</v>
      </c>
      <c r="N14">
        <f>M14*$N$2+M15*(1-$N$2)</f>
        <v>378</v>
      </c>
      <c r="O14" t="str">
        <f t="shared" ref="O14" si="15">B14&amp;"+"&amp;C14</f>
        <v>330+50</v>
      </c>
      <c r="Q14">
        <f t="shared" si="8"/>
        <v>260</v>
      </c>
    </row>
    <row r="15" spans="1:17">
      <c r="B15">
        <f t="shared" si="7"/>
        <v>330</v>
      </c>
      <c r="C15">
        <f>C14</f>
        <v>50</v>
      </c>
      <c r="E15" t="s">
        <v>263</v>
      </c>
      <c r="F15">
        <f>IF((120+260)/2&gt;($B15+$C15),($B15+$C15),(120+260)/2)</f>
        <v>190</v>
      </c>
      <c r="G15">
        <f t="shared" si="0"/>
        <v>190</v>
      </c>
      <c r="H15">
        <f t="shared" si="1"/>
        <v>950</v>
      </c>
      <c r="I15">
        <f t="shared" si="2"/>
        <v>990</v>
      </c>
      <c r="J15">
        <f t="shared" si="3"/>
        <v>180</v>
      </c>
      <c r="K15">
        <f t="shared" si="4"/>
        <v>-190</v>
      </c>
      <c r="L15">
        <f t="shared" si="5"/>
        <v>40</v>
      </c>
      <c r="M15">
        <f t="shared" si="6"/>
        <v>-70</v>
      </c>
      <c r="Q15">
        <f t="shared" si="8"/>
        <v>270</v>
      </c>
    </row>
    <row r="16" spans="1:17">
      <c r="A16">
        <f t="shared" ref="A16" si="16">A14+2</f>
        <v>13</v>
      </c>
      <c r="B16">
        <f t="shared" si="7"/>
        <v>330</v>
      </c>
      <c r="C16">
        <f>+C14+10</f>
        <v>60</v>
      </c>
      <c r="E16" t="s">
        <v>261</v>
      </c>
      <c r="F16">
        <f>IF((240+420)/2&gt;($B16+$C16),($B16+$C16),(240+420)/2)</f>
        <v>330</v>
      </c>
      <c r="G16">
        <f t="shared" si="0"/>
        <v>60</v>
      </c>
      <c r="H16">
        <f t="shared" si="1"/>
        <v>1650</v>
      </c>
      <c r="I16">
        <f t="shared" si="2"/>
        <v>990</v>
      </c>
      <c r="J16">
        <f t="shared" si="3"/>
        <v>216</v>
      </c>
      <c r="K16">
        <f t="shared" si="4"/>
        <v>-60</v>
      </c>
      <c r="L16">
        <f t="shared" si="5"/>
        <v>40</v>
      </c>
      <c r="M16">
        <f t="shared" si="6"/>
        <v>464</v>
      </c>
      <c r="N16">
        <f>M16*$N$2+M17*(1-$N$2)</f>
        <v>352.00000000000006</v>
      </c>
      <c r="O16" t="str">
        <f t="shared" ref="O16" si="17">B16&amp;"+"&amp;C16</f>
        <v>330+60</v>
      </c>
      <c r="Q16">
        <f t="shared" si="8"/>
        <v>280</v>
      </c>
    </row>
    <row r="17" spans="1:17">
      <c r="B17">
        <f t="shared" si="7"/>
        <v>330</v>
      </c>
      <c r="C17">
        <f>C16</f>
        <v>60</v>
      </c>
      <c r="E17" t="s">
        <v>263</v>
      </c>
      <c r="F17">
        <f>IF((120+260)/2&gt;($B17+$C17),($B17+$C17),(120+260)/2)</f>
        <v>190</v>
      </c>
      <c r="G17">
        <f t="shared" si="0"/>
        <v>200</v>
      </c>
      <c r="H17">
        <f t="shared" si="1"/>
        <v>950</v>
      </c>
      <c r="I17">
        <f t="shared" si="2"/>
        <v>990</v>
      </c>
      <c r="J17">
        <f t="shared" si="3"/>
        <v>216</v>
      </c>
      <c r="K17">
        <f t="shared" si="4"/>
        <v>-200</v>
      </c>
      <c r="L17">
        <f t="shared" si="5"/>
        <v>40</v>
      </c>
      <c r="M17">
        <f t="shared" si="6"/>
        <v>-96</v>
      </c>
      <c r="Q17">
        <f t="shared" si="8"/>
        <v>290</v>
      </c>
    </row>
    <row r="18" spans="1:17">
      <c r="A18">
        <f t="shared" ref="A18" si="18">A16+2</f>
        <v>15</v>
      </c>
      <c r="B18">
        <f t="shared" si="7"/>
        <v>330</v>
      </c>
      <c r="C18">
        <f>+C16+10</f>
        <v>70</v>
      </c>
      <c r="E18" t="s">
        <v>261</v>
      </c>
      <c r="F18">
        <f>IF((240+420)/2&gt;($B18+$C18),($B18+$C18),(240+420)/2)</f>
        <v>330</v>
      </c>
      <c r="G18">
        <f t="shared" si="0"/>
        <v>70</v>
      </c>
      <c r="H18">
        <f t="shared" si="1"/>
        <v>1650</v>
      </c>
      <c r="I18">
        <f t="shared" si="2"/>
        <v>990</v>
      </c>
      <c r="J18">
        <f t="shared" si="3"/>
        <v>252</v>
      </c>
      <c r="K18">
        <f t="shared" si="4"/>
        <v>-70</v>
      </c>
      <c r="L18">
        <f t="shared" si="5"/>
        <v>40</v>
      </c>
      <c r="M18">
        <f t="shared" si="6"/>
        <v>438</v>
      </c>
      <c r="N18">
        <f>M18*$N$2+M19*(1-$N$2)</f>
        <v>326.00000000000006</v>
      </c>
      <c r="O18" t="str">
        <f t="shared" ref="O18" si="19">B18&amp;"+"&amp;C18</f>
        <v>330+70</v>
      </c>
      <c r="Q18">
        <f t="shared" si="8"/>
        <v>300</v>
      </c>
    </row>
    <row r="19" spans="1:17">
      <c r="B19">
        <f t="shared" si="7"/>
        <v>330</v>
      </c>
      <c r="C19">
        <f>C18</f>
        <v>70</v>
      </c>
      <c r="E19" t="s">
        <v>263</v>
      </c>
      <c r="F19">
        <f>IF((120+260)/2&gt;($B19+$C19),($B19+$C19),(120+260)/2)</f>
        <v>190</v>
      </c>
      <c r="G19">
        <f t="shared" si="0"/>
        <v>210</v>
      </c>
      <c r="H19">
        <f t="shared" si="1"/>
        <v>950</v>
      </c>
      <c r="I19">
        <f t="shared" si="2"/>
        <v>990</v>
      </c>
      <c r="J19">
        <f t="shared" si="3"/>
        <v>252</v>
      </c>
      <c r="K19">
        <f t="shared" si="4"/>
        <v>-210</v>
      </c>
      <c r="L19">
        <f t="shared" si="5"/>
        <v>40</v>
      </c>
      <c r="M19">
        <f t="shared" si="6"/>
        <v>-122</v>
      </c>
      <c r="Q19">
        <f t="shared" si="8"/>
        <v>310</v>
      </c>
    </row>
    <row r="20" spans="1:17">
      <c r="A20">
        <f t="shared" ref="A20" si="20">A18+2</f>
        <v>17</v>
      </c>
      <c r="B20">
        <f t="shared" si="7"/>
        <v>330</v>
      </c>
      <c r="C20">
        <f>+C18+10</f>
        <v>80</v>
      </c>
      <c r="E20" t="s">
        <v>261</v>
      </c>
      <c r="F20">
        <f>IF((240+420)/2&gt;($B20+$C20),($B20+$C20),(240+420)/2)</f>
        <v>330</v>
      </c>
      <c r="G20">
        <f t="shared" si="0"/>
        <v>80</v>
      </c>
      <c r="H20">
        <f t="shared" si="1"/>
        <v>1650</v>
      </c>
      <c r="I20">
        <f t="shared" si="2"/>
        <v>990</v>
      </c>
      <c r="J20">
        <f t="shared" si="3"/>
        <v>288</v>
      </c>
      <c r="K20">
        <f t="shared" si="4"/>
        <v>-80</v>
      </c>
      <c r="L20">
        <f t="shared" si="5"/>
        <v>40</v>
      </c>
      <c r="M20">
        <f t="shared" si="6"/>
        <v>412</v>
      </c>
      <c r="N20">
        <f>M20*$N$2+M21*(1-$N$2)</f>
        <v>300</v>
      </c>
      <c r="O20" t="str">
        <f t="shared" ref="O20" si="21">B20&amp;"+"&amp;C20</f>
        <v>330+80</v>
      </c>
      <c r="Q20">
        <f t="shared" si="8"/>
        <v>320</v>
      </c>
    </row>
    <row r="21" spans="1:17">
      <c r="B21">
        <f t="shared" si="7"/>
        <v>330</v>
      </c>
      <c r="C21">
        <f>C20</f>
        <v>80</v>
      </c>
      <c r="E21" t="s">
        <v>263</v>
      </c>
      <c r="F21">
        <f>IF((120+260)/2&gt;($B21+$C21),($B21+$C21),(120+260)/2)</f>
        <v>190</v>
      </c>
      <c r="G21">
        <f t="shared" si="0"/>
        <v>220</v>
      </c>
      <c r="H21">
        <f t="shared" si="1"/>
        <v>950</v>
      </c>
      <c r="I21">
        <f t="shared" si="2"/>
        <v>990</v>
      </c>
      <c r="J21">
        <f t="shared" si="3"/>
        <v>288</v>
      </c>
      <c r="K21">
        <f t="shared" si="4"/>
        <v>-220</v>
      </c>
      <c r="L21">
        <f t="shared" si="5"/>
        <v>40</v>
      </c>
      <c r="M21">
        <f t="shared" si="6"/>
        <v>-148</v>
      </c>
      <c r="Q21">
        <f t="shared" si="8"/>
        <v>330</v>
      </c>
    </row>
    <row r="22" spans="1:17">
      <c r="A22">
        <f t="shared" ref="A22" si="22">A20+2</f>
        <v>19</v>
      </c>
      <c r="B22">
        <f t="shared" si="7"/>
        <v>330</v>
      </c>
      <c r="C22">
        <f>+C20+10</f>
        <v>90</v>
      </c>
      <c r="E22" t="s">
        <v>261</v>
      </c>
      <c r="F22">
        <f>IF((240+420)/2&gt;($B22+$C22),($B22+$C22),(240+420)/2)</f>
        <v>330</v>
      </c>
      <c r="G22">
        <f t="shared" si="0"/>
        <v>90</v>
      </c>
      <c r="H22">
        <f t="shared" si="1"/>
        <v>1650</v>
      </c>
      <c r="I22">
        <f t="shared" si="2"/>
        <v>990</v>
      </c>
      <c r="J22">
        <f t="shared" si="3"/>
        <v>324</v>
      </c>
      <c r="K22">
        <f t="shared" si="4"/>
        <v>-90</v>
      </c>
      <c r="L22">
        <f t="shared" si="5"/>
        <v>40</v>
      </c>
      <c r="M22">
        <f t="shared" si="6"/>
        <v>386</v>
      </c>
      <c r="N22">
        <f>M22*$N$2+M23*(1-$N$2)</f>
        <v>274</v>
      </c>
      <c r="O22" t="str">
        <f t="shared" ref="O22" si="23">B22&amp;"+"&amp;C22</f>
        <v>330+90</v>
      </c>
      <c r="Q22">
        <f t="shared" si="8"/>
        <v>340</v>
      </c>
    </row>
    <row r="23" spans="1:17">
      <c r="B23">
        <f t="shared" si="7"/>
        <v>330</v>
      </c>
      <c r="C23">
        <f>C22</f>
        <v>90</v>
      </c>
      <c r="E23" t="s">
        <v>263</v>
      </c>
      <c r="F23">
        <f>IF((120+260)/2&gt;($B23+$C23),($B23+$C23),(120+260)/2)</f>
        <v>190</v>
      </c>
      <c r="G23">
        <f t="shared" si="0"/>
        <v>230</v>
      </c>
      <c r="H23">
        <f t="shared" si="1"/>
        <v>950</v>
      </c>
      <c r="I23">
        <f t="shared" si="2"/>
        <v>990</v>
      </c>
      <c r="J23">
        <f t="shared" si="3"/>
        <v>324</v>
      </c>
      <c r="K23">
        <f t="shared" si="4"/>
        <v>-230</v>
      </c>
      <c r="L23">
        <f t="shared" si="5"/>
        <v>40</v>
      </c>
      <c r="M23">
        <f t="shared" si="6"/>
        <v>-174</v>
      </c>
      <c r="Q23">
        <f t="shared" si="8"/>
        <v>350</v>
      </c>
    </row>
    <row r="24" spans="1:17">
      <c r="A24">
        <f t="shared" ref="A24" si="24">A22+2</f>
        <v>21</v>
      </c>
      <c r="B24">
        <f t="shared" si="7"/>
        <v>330</v>
      </c>
      <c r="C24">
        <f>+C22+10</f>
        <v>100</v>
      </c>
      <c r="E24" t="s">
        <v>261</v>
      </c>
      <c r="F24">
        <f>IF((240+420)/2&gt;($B24+$C24),($B24+$C24),(240+420)/2)</f>
        <v>330</v>
      </c>
      <c r="G24">
        <f t="shared" si="0"/>
        <v>100</v>
      </c>
      <c r="H24">
        <f t="shared" si="1"/>
        <v>1650</v>
      </c>
      <c r="I24">
        <f t="shared" si="2"/>
        <v>990</v>
      </c>
      <c r="J24">
        <f t="shared" si="3"/>
        <v>360</v>
      </c>
      <c r="K24">
        <f t="shared" si="4"/>
        <v>-100</v>
      </c>
      <c r="L24">
        <f t="shared" si="5"/>
        <v>40</v>
      </c>
      <c r="M24">
        <f t="shared" si="6"/>
        <v>360</v>
      </c>
      <c r="N24">
        <f>M24*$N$2+M25*(1-$N$2)</f>
        <v>248</v>
      </c>
      <c r="O24" t="str">
        <f t="shared" ref="O24" si="25">B24&amp;"+"&amp;C24</f>
        <v>330+100</v>
      </c>
      <c r="Q24">
        <f t="shared" si="8"/>
        <v>360</v>
      </c>
    </row>
    <row r="25" spans="1:17">
      <c r="B25">
        <f t="shared" si="7"/>
        <v>330</v>
      </c>
      <c r="C25">
        <f>C24</f>
        <v>100</v>
      </c>
      <c r="E25" t="s">
        <v>263</v>
      </c>
      <c r="F25">
        <f>IF((120+260)/2&gt;($B25+$C25),($B25+$C25),(120+260)/2)</f>
        <v>190</v>
      </c>
      <c r="G25">
        <f t="shared" si="0"/>
        <v>240</v>
      </c>
      <c r="H25">
        <f t="shared" si="1"/>
        <v>950</v>
      </c>
      <c r="I25">
        <f t="shared" si="2"/>
        <v>990</v>
      </c>
      <c r="J25">
        <f t="shared" si="3"/>
        <v>360</v>
      </c>
      <c r="K25">
        <f t="shared" si="4"/>
        <v>-240</v>
      </c>
      <c r="L25">
        <f t="shared" si="5"/>
        <v>40</v>
      </c>
      <c r="M25">
        <f t="shared" si="6"/>
        <v>-200</v>
      </c>
      <c r="Q25">
        <f>Q24+10</f>
        <v>370</v>
      </c>
    </row>
    <row r="26" spans="1:17">
      <c r="A26">
        <f t="shared" ref="A26" si="26">A24+2</f>
        <v>23</v>
      </c>
      <c r="B26">
        <f t="shared" si="7"/>
        <v>330</v>
      </c>
      <c r="C26">
        <f>+C24+10</f>
        <v>110</v>
      </c>
      <c r="E26" t="s">
        <v>261</v>
      </c>
      <c r="F26">
        <f>IF((240+420)/2&gt;($B26+$C26),($B26+$C26),(240+420)/2)</f>
        <v>330</v>
      </c>
      <c r="G26">
        <f t="shared" si="0"/>
        <v>110</v>
      </c>
      <c r="H26">
        <f t="shared" si="1"/>
        <v>1650</v>
      </c>
      <c r="I26">
        <f t="shared" si="2"/>
        <v>990</v>
      </c>
      <c r="J26">
        <f t="shared" si="3"/>
        <v>396</v>
      </c>
      <c r="K26">
        <f t="shared" si="4"/>
        <v>-110</v>
      </c>
      <c r="L26">
        <f t="shared" si="5"/>
        <v>40</v>
      </c>
      <c r="M26">
        <f t="shared" si="6"/>
        <v>334</v>
      </c>
      <c r="N26">
        <f>M26*$N$2+M27*(1-$N$2)</f>
        <v>222</v>
      </c>
      <c r="O26" t="str">
        <f t="shared" ref="O26" si="27">B26&amp;"+"&amp;C26</f>
        <v>330+110</v>
      </c>
      <c r="Q26">
        <f t="shared" si="8"/>
        <v>380</v>
      </c>
    </row>
    <row r="27" spans="1:17">
      <c r="B27">
        <f t="shared" si="7"/>
        <v>330</v>
      </c>
      <c r="C27">
        <f>C26</f>
        <v>110</v>
      </c>
      <c r="E27" t="s">
        <v>263</v>
      </c>
      <c r="F27">
        <f>IF((120+260)/2&gt;($B27+$C27),($B27+$C27),(120+260)/2)</f>
        <v>190</v>
      </c>
      <c r="G27">
        <f t="shared" si="0"/>
        <v>250</v>
      </c>
      <c r="H27">
        <f t="shared" si="1"/>
        <v>950</v>
      </c>
      <c r="I27">
        <f t="shared" si="2"/>
        <v>990</v>
      </c>
      <c r="J27">
        <f t="shared" si="3"/>
        <v>396</v>
      </c>
      <c r="K27">
        <f t="shared" si="4"/>
        <v>-250</v>
      </c>
      <c r="L27">
        <f t="shared" si="5"/>
        <v>40</v>
      </c>
      <c r="M27">
        <f t="shared" si="6"/>
        <v>-226</v>
      </c>
      <c r="Q27">
        <f t="shared" si="8"/>
        <v>390</v>
      </c>
    </row>
    <row r="28" spans="1:17">
      <c r="A28">
        <f t="shared" ref="A28" si="28">A26+2</f>
        <v>25</v>
      </c>
      <c r="B28">
        <f t="shared" si="7"/>
        <v>330</v>
      </c>
      <c r="C28">
        <f>+C26+10</f>
        <v>120</v>
      </c>
      <c r="E28" t="s">
        <v>261</v>
      </c>
      <c r="F28">
        <f>IF((240+420)/2&gt;($B28+$C28),($B28+$C28),(240+420)/2)</f>
        <v>330</v>
      </c>
      <c r="G28">
        <f t="shared" si="0"/>
        <v>120</v>
      </c>
      <c r="H28">
        <f t="shared" si="1"/>
        <v>1650</v>
      </c>
      <c r="I28">
        <f t="shared" si="2"/>
        <v>990</v>
      </c>
      <c r="J28">
        <f t="shared" si="3"/>
        <v>432</v>
      </c>
      <c r="K28">
        <f t="shared" si="4"/>
        <v>-120</v>
      </c>
      <c r="L28">
        <f t="shared" si="5"/>
        <v>40</v>
      </c>
      <c r="M28">
        <f t="shared" si="6"/>
        <v>308</v>
      </c>
      <c r="N28">
        <f>M28*$N$2+M29*(1-$N$2)</f>
        <v>196</v>
      </c>
      <c r="O28" t="str">
        <f t="shared" ref="O28" si="29">B28&amp;"+"&amp;C28</f>
        <v>330+120</v>
      </c>
      <c r="Q28">
        <f t="shared" si="8"/>
        <v>400</v>
      </c>
    </row>
    <row r="29" spans="1:17">
      <c r="B29">
        <f t="shared" si="7"/>
        <v>330</v>
      </c>
      <c r="C29">
        <f>C28</f>
        <v>120</v>
      </c>
      <c r="E29" t="s">
        <v>263</v>
      </c>
      <c r="F29">
        <f>IF((120+260)/2&gt;($B29+$C29),($B29+$C29),(120+260)/2)</f>
        <v>190</v>
      </c>
      <c r="G29">
        <f t="shared" si="0"/>
        <v>260</v>
      </c>
      <c r="H29">
        <f t="shared" si="1"/>
        <v>950</v>
      </c>
      <c r="I29">
        <f t="shared" si="2"/>
        <v>990</v>
      </c>
      <c r="J29">
        <f t="shared" si="3"/>
        <v>432</v>
      </c>
      <c r="K29">
        <f t="shared" si="4"/>
        <v>-260</v>
      </c>
      <c r="L29">
        <f t="shared" si="5"/>
        <v>40</v>
      </c>
      <c r="M29">
        <f t="shared" si="6"/>
        <v>-252</v>
      </c>
      <c r="Q29">
        <f t="shared" si="8"/>
        <v>410</v>
      </c>
    </row>
    <row r="30" spans="1:17">
      <c r="A30">
        <f t="shared" ref="A30" si="30">A28+2</f>
        <v>27</v>
      </c>
      <c r="B30">
        <f t="shared" si="7"/>
        <v>330</v>
      </c>
      <c r="C30">
        <f>+C28+10</f>
        <v>130</v>
      </c>
      <c r="E30" t="s">
        <v>261</v>
      </c>
      <c r="F30">
        <f>IF((240+420)/2&gt;($B30+$C30),($B30+$C30),(240+420)/2)</f>
        <v>330</v>
      </c>
      <c r="G30">
        <f t="shared" si="0"/>
        <v>130</v>
      </c>
      <c r="H30">
        <f t="shared" si="1"/>
        <v>1650</v>
      </c>
      <c r="I30">
        <f t="shared" si="2"/>
        <v>990</v>
      </c>
      <c r="J30">
        <f t="shared" si="3"/>
        <v>468</v>
      </c>
      <c r="K30">
        <f t="shared" si="4"/>
        <v>-130</v>
      </c>
      <c r="L30">
        <f t="shared" si="5"/>
        <v>40</v>
      </c>
      <c r="M30">
        <f t="shared" si="6"/>
        <v>282</v>
      </c>
      <c r="N30">
        <f>M30*$N$2+M31*(1-$N$2)</f>
        <v>170.00000000000003</v>
      </c>
      <c r="O30" t="str">
        <f t="shared" ref="O30" si="31">B30&amp;"+"&amp;C30</f>
        <v>330+130</v>
      </c>
      <c r="Q30">
        <f t="shared" si="8"/>
        <v>420</v>
      </c>
    </row>
    <row r="31" spans="1:17">
      <c r="B31">
        <f t="shared" si="7"/>
        <v>330</v>
      </c>
      <c r="C31">
        <f>C30</f>
        <v>130</v>
      </c>
      <c r="E31" t="s">
        <v>263</v>
      </c>
      <c r="F31">
        <f>IF((120+260)/2&gt;($B31+$C31),($B31+$C31),(120+260)/2)</f>
        <v>190</v>
      </c>
      <c r="G31">
        <f t="shared" si="0"/>
        <v>270</v>
      </c>
      <c r="H31">
        <f t="shared" si="1"/>
        <v>950</v>
      </c>
      <c r="I31">
        <f t="shared" si="2"/>
        <v>990</v>
      </c>
      <c r="J31">
        <f t="shared" si="3"/>
        <v>468</v>
      </c>
      <c r="K31">
        <f t="shared" si="4"/>
        <v>-270</v>
      </c>
      <c r="L31">
        <f t="shared" si="5"/>
        <v>40</v>
      </c>
      <c r="M31">
        <f t="shared" si="6"/>
        <v>-278</v>
      </c>
    </row>
    <row r="32" spans="1:17">
      <c r="A32">
        <f t="shared" ref="A32" si="32">A30+2</f>
        <v>29</v>
      </c>
      <c r="B32">
        <f t="shared" si="7"/>
        <v>330</v>
      </c>
      <c r="C32">
        <f>+C30+10</f>
        <v>140</v>
      </c>
      <c r="E32" t="s">
        <v>261</v>
      </c>
      <c r="F32">
        <f>IF((240+420)/2&gt;($B32+$C32),($B32+$C32),(240+420)/2)</f>
        <v>330</v>
      </c>
      <c r="G32">
        <f t="shared" si="0"/>
        <v>140</v>
      </c>
      <c r="H32">
        <f t="shared" si="1"/>
        <v>1650</v>
      </c>
      <c r="I32">
        <f t="shared" si="2"/>
        <v>990</v>
      </c>
      <c r="J32">
        <f t="shared" si="3"/>
        <v>504</v>
      </c>
      <c r="K32">
        <f t="shared" si="4"/>
        <v>-140</v>
      </c>
      <c r="L32">
        <f t="shared" si="5"/>
        <v>40</v>
      </c>
      <c r="M32">
        <f t="shared" si="6"/>
        <v>256</v>
      </c>
      <c r="N32">
        <f>M32*$N$2+M33*(1-$N$2)</f>
        <v>144.00000000000003</v>
      </c>
      <c r="O32" t="str">
        <f t="shared" ref="O32" si="33">B32&amp;"+"&amp;C32</f>
        <v>330+140</v>
      </c>
    </row>
    <row r="33" spans="1:15">
      <c r="B33">
        <f t="shared" si="7"/>
        <v>330</v>
      </c>
      <c r="C33">
        <f>C32</f>
        <v>140</v>
      </c>
      <c r="E33" t="s">
        <v>263</v>
      </c>
      <c r="F33">
        <f>IF((120+260)/2&gt;($B33+$C33),($B33+$C33),(120+260)/2)</f>
        <v>190</v>
      </c>
      <c r="G33">
        <f t="shared" si="0"/>
        <v>280</v>
      </c>
      <c r="H33">
        <f t="shared" si="1"/>
        <v>950</v>
      </c>
      <c r="I33">
        <f t="shared" si="2"/>
        <v>990</v>
      </c>
      <c r="J33">
        <f t="shared" si="3"/>
        <v>504</v>
      </c>
      <c r="K33">
        <f t="shared" si="4"/>
        <v>-280</v>
      </c>
      <c r="L33">
        <f t="shared" si="5"/>
        <v>40</v>
      </c>
      <c r="M33">
        <f t="shared" si="6"/>
        <v>-304</v>
      </c>
    </row>
    <row r="34" spans="1:15">
      <c r="A34">
        <f t="shared" ref="A34" si="34">A32+2</f>
        <v>31</v>
      </c>
      <c r="B34">
        <f t="shared" si="7"/>
        <v>330</v>
      </c>
      <c r="C34">
        <f>+C32+10</f>
        <v>150</v>
      </c>
      <c r="E34" t="s">
        <v>261</v>
      </c>
      <c r="F34">
        <f>IF((240+420)/2&gt;($B34+$C34),($B34+$C34),(240+420)/2)</f>
        <v>330</v>
      </c>
      <c r="G34">
        <f t="shared" si="0"/>
        <v>150</v>
      </c>
      <c r="H34">
        <f t="shared" si="1"/>
        <v>1650</v>
      </c>
      <c r="I34">
        <f t="shared" si="2"/>
        <v>990</v>
      </c>
      <c r="J34">
        <f t="shared" si="3"/>
        <v>540</v>
      </c>
      <c r="K34">
        <f t="shared" si="4"/>
        <v>-150</v>
      </c>
      <c r="L34">
        <f t="shared" si="5"/>
        <v>40</v>
      </c>
      <c r="M34">
        <f t="shared" si="6"/>
        <v>230</v>
      </c>
      <c r="N34">
        <f>M34*$N$2+M35*(1-$N$2)</f>
        <v>118.00000000000001</v>
      </c>
      <c r="O34" t="str">
        <f t="shared" ref="O34" si="35">B34&amp;"+"&amp;C34</f>
        <v>330+150</v>
      </c>
    </row>
    <row r="35" spans="1:15">
      <c r="B35">
        <f t="shared" si="7"/>
        <v>330</v>
      </c>
      <c r="C35">
        <f>C34</f>
        <v>150</v>
      </c>
      <c r="E35" t="s">
        <v>263</v>
      </c>
      <c r="F35">
        <f>IF((120+260)/2&gt;($B35+$C35),($B35+$C35),(120+260)/2)</f>
        <v>190</v>
      </c>
      <c r="G35">
        <f t="shared" si="0"/>
        <v>290</v>
      </c>
      <c r="H35">
        <f t="shared" si="1"/>
        <v>950</v>
      </c>
      <c r="I35">
        <f t="shared" si="2"/>
        <v>990</v>
      </c>
      <c r="J35">
        <f t="shared" si="3"/>
        <v>540</v>
      </c>
      <c r="K35">
        <f t="shared" si="4"/>
        <v>-290</v>
      </c>
      <c r="L35">
        <f t="shared" si="5"/>
        <v>40</v>
      </c>
      <c r="M35">
        <f t="shared" si="6"/>
        <v>-330</v>
      </c>
    </row>
    <row r="36" spans="1:15">
      <c r="A36">
        <f t="shared" ref="A36" si="36">A34+2</f>
        <v>33</v>
      </c>
      <c r="B36">
        <f t="shared" si="7"/>
        <v>330</v>
      </c>
      <c r="C36">
        <f>+C34+10</f>
        <v>160</v>
      </c>
      <c r="E36" t="s">
        <v>261</v>
      </c>
      <c r="F36">
        <f>IF((240+420)/2&gt;($B36+$C36),($B36+$C36),(240+420)/2)</f>
        <v>330</v>
      </c>
      <c r="G36">
        <f t="shared" ref="G36:G55" si="37">C36+B36-F36</f>
        <v>160</v>
      </c>
      <c r="H36">
        <f t="shared" ref="H36:H55" si="38">F36*$H$2</f>
        <v>1650</v>
      </c>
      <c r="I36">
        <f t="shared" ref="I36:I55" si="39">$I$2*B36</f>
        <v>990</v>
      </c>
      <c r="J36">
        <f t="shared" ref="J36:J55" si="40">$J$2*C36</f>
        <v>576</v>
      </c>
      <c r="K36">
        <f t="shared" ref="K36:K55" si="41">-G36*3*0.5+0.5*G36</f>
        <v>-160</v>
      </c>
      <c r="L36">
        <f t="shared" ref="L36:L55" si="42">2*20</f>
        <v>40</v>
      </c>
      <c r="M36">
        <f t="shared" ref="M36:M55" si="43">H36-SUM(I36:L36)</f>
        <v>204</v>
      </c>
      <c r="N36">
        <f>M36*$N$2+M37*(1-$N$2)</f>
        <v>92.000000000000028</v>
      </c>
      <c r="O36" t="str">
        <f t="shared" ref="O36" si="44">B36&amp;"+"&amp;C36</f>
        <v>330+160</v>
      </c>
    </row>
    <row r="37" spans="1:15">
      <c r="B37">
        <f t="shared" si="7"/>
        <v>330</v>
      </c>
      <c r="C37">
        <f>C36</f>
        <v>160</v>
      </c>
      <c r="E37" t="s">
        <v>263</v>
      </c>
      <c r="F37">
        <f>IF((120+260)/2&gt;($B37+$C37),($B37+$C37),(120+260)/2)</f>
        <v>190</v>
      </c>
      <c r="G37">
        <f t="shared" si="37"/>
        <v>300</v>
      </c>
      <c r="H37">
        <f t="shared" si="38"/>
        <v>950</v>
      </c>
      <c r="I37">
        <f t="shared" si="39"/>
        <v>990</v>
      </c>
      <c r="J37">
        <f t="shared" si="40"/>
        <v>576</v>
      </c>
      <c r="K37">
        <f t="shared" si="41"/>
        <v>-300</v>
      </c>
      <c r="L37">
        <f t="shared" si="42"/>
        <v>40</v>
      </c>
      <c r="M37">
        <f t="shared" si="43"/>
        <v>-356</v>
      </c>
    </row>
    <row r="38" spans="1:15">
      <c r="A38">
        <f t="shared" ref="A38" si="45">A36+2</f>
        <v>35</v>
      </c>
      <c r="B38">
        <f t="shared" si="7"/>
        <v>330</v>
      </c>
      <c r="C38">
        <f>+C36+10</f>
        <v>170</v>
      </c>
      <c r="E38" t="s">
        <v>261</v>
      </c>
      <c r="F38">
        <f>IF((240+420)/2&gt;($B38+$C38),($B38+$C38),(240+420)/2)</f>
        <v>330</v>
      </c>
      <c r="G38">
        <f t="shared" si="37"/>
        <v>170</v>
      </c>
      <c r="H38">
        <f t="shared" si="38"/>
        <v>1650</v>
      </c>
      <c r="I38">
        <f t="shared" si="39"/>
        <v>990</v>
      </c>
      <c r="J38">
        <f t="shared" si="40"/>
        <v>612</v>
      </c>
      <c r="K38">
        <f t="shared" si="41"/>
        <v>-170</v>
      </c>
      <c r="L38">
        <f t="shared" si="42"/>
        <v>40</v>
      </c>
      <c r="M38">
        <f t="shared" si="43"/>
        <v>178</v>
      </c>
      <c r="N38">
        <f>M38*$N$2+M39*(1-$N$2)</f>
        <v>66.000000000000028</v>
      </c>
      <c r="O38" t="str">
        <f t="shared" ref="O38" si="46">B38&amp;"+"&amp;C38</f>
        <v>330+170</v>
      </c>
    </row>
    <row r="39" spans="1:15">
      <c r="B39">
        <f t="shared" si="7"/>
        <v>330</v>
      </c>
      <c r="C39">
        <f>C38</f>
        <v>170</v>
      </c>
      <c r="E39" t="s">
        <v>263</v>
      </c>
      <c r="F39">
        <f>IF((120+260)/2&gt;($B39+$C39),($B39+$C39),(120+260)/2)</f>
        <v>190</v>
      </c>
      <c r="G39">
        <f t="shared" si="37"/>
        <v>310</v>
      </c>
      <c r="H39">
        <f t="shared" si="38"/>
        <v>950</v>
      </c>
      <c r="I39">
        <f t="shared" si="39"/>
        <v>990</v>
      </c>
      <c r="J39">
        <f t="shared" si="40"/>
        <v>612</v>
      </c>
      <c r="K39">
        <f t="shared" si="41"/>
        <v>-310</v>
      </c>
      <c r="L39">
        <f t="shared" si="42"/>
        <v>40</v>
      </c>
      <c r="M39">
        <f t="shared" si="43"/>
        <v>-382</v>
      </c>
    </row>
    <row r="40" spans="1:15">
      <c r="A40">
        <f t="shared" ref="A40" si="47">A38+2</f>
        <v>37</v>
      </c>
      <c r="B40">
        <f t="shared" si="7"/>
        <v>330</v>
      </c>
      <c r="C40">
        <f>+C38+10</f>
        <v>180</v>
      </c>
      <c r="E40" t="s">
        <v>261</v>
      </c>
      <c r="F40">
        <f>IF((240+420)/2&gt;($B40+$C40),($B40+$C40),(240+420)/2)</f>
        <v>330</v>
      </c>
      <c r="G40">
        <f t="shared" si="37"/>
        <v>180</v>
      </c>
      <c r="H40">
        <f t="shared" si="38"/>
        <v>1650</v>
      </c>
      <c r="I40">
        <f t="shared" si="39"/>
        <v>990</v>
      </c>
      <c r="J40">
        <f t="shared" si="40"/>
        <v>648</v>
      </c>
      <c r="K40">
        <f t="shared" si="41"/>
        <v>-180</v>
      </c>
      <c r="L40">
        <f t="shared" si="42"/>
        <v>40</v>
      </c>
      <c r="M40">
        <f t="shared" si="43"/>
        <v>152</v>
      </c>
      <c r="N40">
        <f>M40*$N$2+M41*(1-$N$2)</f>
        <v>40.000000000000028</v>
      </c>
      <c r="O40" t="str">
        <f t="shared" ref="O40" si="48">B40&amp;"+"&amp;C40</f>
        <v>330+180</v>
      </c>
    </row>
    <row r="41" spans="1:15">
      <c r="B41">
        <f t="shared" si="7"/>
        <v>330</v>
      </c>
      <c r="C41">
        <f>C40</f>
        <v>180</v>
      </c>
      <c r="E41" t="s">
        <v>263</v>
      </c>
      <c r="F41">
        <f>IF((120+260)/2&gt;($B41+$C41),($B41+$C41),(120+260)/2)</f>
        <v>190</v>
      </c>
      <c r="G41">
        <f t="shared" si="37"/>
        <v>320</v>
      </c>
      <c r="H41">
        <f t="shared" si="38"/>
        <v>950</v>
      </c>
      <c r="I41">
        <f t="shared" si="39"/>
        <v>990</v>
      </c>
      <c r="J41">
        <f t="shared" si="40"/>
        <v>648</v>
      </c>
      <c r="K41">
        <f t="shared" si="41"/>
        <v>-320</v>
      </c>
      <c r="L41">
        <f t="shared" si="42"/>
        <v>40</v>
      </c>
      <c r="M41">
        <f t="shared" si="43"/>
        <v>-408</v>
      </c>
    </row>
    <row r="42" spans="1:15">
      <c r="A42">
        <f t="shared" ref="A42" si="49">A40+2</f>
        <v>39</v>
      </c>
      <c r="B42">
        <f t="shared" si="7"/>
        <v>330</v>
      </c>
      <c r="C42">
        <f>+C40+10</f>
        <v>190</v>
      </c>
      <c r="E42" t="s">
        <v>261</v>
      </c>
      <c r="F42">
        <f>IF((240+420)/2&gt;($B42+$C42),($B42+$C42),(240+420)/2)</f>
        <v>330</v>
      </c>
      <c r="G42">
        <f t="shared" si="37"/>
        <v>190</v>
      </c>
      <c r="H42">
        <f t="shared" si="38"/>
        <v>1650</v>
      </c>
      <c r="I42">
        <f t="shared" si="39"/>
        <v>990</v>
      </c>
      <c r="J42">
        <f t="shared" si="40"/>
        <v>684</v>
      </c>
      <c r="K42">
        <f t="shared" si="41"/>
        <v>-190</v>
      </c>
      <c r="L42">
        <f t="shared" si="42"/>
        <v>40</v>
      </c>
      <c r="M42">
        <f t="shared" si="43"/>
        <v>126</v>
      </c>
      <c r="N42">
        <f>M42*$N$2+M43*(1-$N$2)</f>
        <v>14.000000000000028</v>
      </c>
      <c r="O42" t="str">
        <f t="shared" ref="O42" si="50">B42&amp;"+"&amp;C42</f>
        <v>330+190</v>
      </c>
    </row>
    <row r="43" spans="1:15">
      <c r="B43">
        <f t="shared" si="7"/>
        <v>330</v>
      </c>
      <c r="C43">
        <f>C42</f>
        <v>190</v>
      </c>
      <c r="E43" t="s">
        <v>263</v>
      </c>
      <c r="F43">
        <f>IF((120+260)/2&gt;($B43+$C43),($B43+$C43),(120+260)/2)</f>
        <v>190</v>
      </c>
      <c r="G43">
        <f t="shared" si="37"/>
        <v>330</v>
      </c>
      <c r="H43">
        <f t="shared" si="38"/>
        <v>950</v>
      </c>
      <c r="I43">
        <f t="shared" si="39"/>
        <v>990</v>
      </c>
      <c r="J43">
        <f t="shared" si="40"/>
        <v>684</v>
      </c>
      <c r="K43">
        <f t="shared" si="41"/>
        <v>-330</v>
      </c>
      <c r="L43">
        <f t="shared" si="42"/>
        <v>40</v>
      </c>
      <c r="M43">
        <f t="shared" si="43"/>
        <v>-434</v>
      </c>
    </row>
    <row r="44" spans="1:15">
      <c r="A44">
        <f t="shared" ref="A44" si="51">A42+2</f>
        <v>41</v>
      </c>
      <c r="B44">
        <f t="shared" si="7"/>
        <v>330</v>
      </c>
      <c r="C44">
        <f>+C42+10</f>
        <v>200</v>
      </c>
      <c r="E44" t="s">
        <v>261</v>
      </c>
      <c r="F44">
        <f>IF((240+420)/2&gt;($B44+$C44),($B44+$C44),(240+420)/2)</f>
        <v>330</v>
      </c>
      <c r="G44">
        <f t="shared" si="37"/>
        <v>200</v>
      </c>
      <c r="H44">
        <f t="shared" si="38"/>
        <v>1650</v>
      </c>
      <c r="I44">
        <f t="shared" si="39"/>
        <v>990</v>
      </c>
      <c r="J44">
        <f t="shared" si="40"/>
        <v>720</v>
      </c>
      <c r="K44">
        <f t="shared" si="41"/>
        <v>-200</v>
      </c>
      <c r="L44">
        <f t="shared" si="42"/>
        <v>40</v>
      </c>
      <c r="M44">
        <f t="shared" si="43"/>
        <v>100</v>
      </c>
      <c r="N44">
        <f>M44*$N$2+M45*(1-$N$2)</f>
        <v>-11.999999999999986</v>
      </c>
      <c r="O44" t="str">
        <f t="shared" ref="O44" si="52">B44&amp;"+"&amp;C44</f>
        <v>330+200</v>
      </c>
    </row>
    <row r="45" spans="1:15">
      <c r="B45">
        <f t="shared" si="7"/>
        <v>330</v>
      </c>
      <c r="C45">
        <f>C44</f>
        <v>200</v>
      </c>
      <c r="E45" t="s">
        <v>263</v>
      </c>
      <c r="F45">
        <f>IF((120+260)/2&gt;($B45+$C45),($B45+$C45),(120+260)/2)</f>
        <v>190</v>
      </c>
      <c r="G45">
        <f t="shared" si="37"/>
        <v>340</v>
      </c>
      <c r="H45">
        <f t="shared" si="38"/>
        <v>950</v>
      </c>
      <c r="I45">
        <f t="shared" si="39"/>
        <v>990</v>
      </c>
      <c r="J45">
        <f t="shared" si="40"/>
        <v>720</v>
      </c>
      <c r="K45">
        <f t="shared" si="41"/>
        <v>-340</v>
      </c>
      <c r="L45">
        <f t="shared" si="42"/>
        <v>40</v>
      </c>
      <c r="M45">
        <f t="shared" si="43"/>
        <v>-460</v>
      </c>
    </row>
    <row r="46" spans="1:15">
      <c r="A46">
        <f t="shared" ref="A46" si="53">A44+2</f>
        <v>43</v>
      </c>
      <c r="B46">
        <f t="shared" ref="B46:B55" si="54">B45</f>
        <v>330</v>
      </c>
      <c r="C46">
        <f>+C44+10</f>
        <v>210</v>
      </c>
      <c r="E46" t="s">
        <v>261</v>
      </c>
      <c r="F46">
        <f>IF((240+420)/2&gt;($B46+$C46),($B46+$C46),(240+420)/2)</f>
        <v>330</v>
      </c>
      <c r="G46">
        <f t="shared" si="37"/>
        <v>210</v>
      </c>
      <c r="H46">
        <f t="shared" si="38"/>
        <v>1650</v>
      </c>
      <c r="I46">
        <f t="shared" si="39"/>
        <v>990</v>
      </c>
      <c r="J46">
        <f t="shared" si="40"/>
        <v>756</v>
      </c>
      <c r="K46">
        <f t="shared" si="41"/>
        <v>-210</v>
      </c>
      <c r="L46">
        <f t="shared" si="42"/>
        <v>40</v>
      </c>
      <c r="M46">
        <f t="shared" si="43"/>
        <v>74</v>
      </c>
      <c r="N46">
        <f>M46*$N$2+M47*(1-$N$2)</f>
        <v>-37.999999999999972</v>
      </c>
      <c r="O46" t="str">
        <f t="shared" ref="O46" si="55">B46&amp;"+"&amp;C46</f>
        <v>330+210</v>
      </c>
    </row>
    <row r="47" spans="1:15">
      <c r="B47">
        <f t="shared" si="54"/>
        <v>330</v>
      </c>
      <c r="C47">
        <f>C46</f>
        <v>210</v>
      </c>
      <c r="E47" t="s">
        <v>263</v>
      </c>
      <c r="F47">
        <f>IF((120+260)/2&gt;($B47+$C47),($B47+$C47),(120+260)/2)</f>
        <v>190</v>
      </c>
      <c r="G47">
        <f t="shared" si="37"/>
        <v>350</v>
      </c>
      <c r="H47">
        <f t="shared" si="38"/>
        <v>950</v>
      </c>
      <c r="I47">
        <f t="shared" si="39"/>
        <v>990</v>
      </c>
      <c r="J47">
        <f t="shared" si="40"/>
        <v>756</v>
      </c>
      <c r="K47">
        <f t="shared" si="41"/>
        <v>-350</v>
      </c>
      <c r="L47">
        <f t="shared" si="42"/>
        <v>40</v>
      </c>
      <c r="M47">
        <f t="shared" si="43"/>
        <v>-486</v>
      </c>
    </row>
    <row r="48" spans="1:15">
      <c r="A48">
        <f t="shared" ref="A48" si="56">A46+2</f>
        <v>45</v>
      </c>
      <c r="B48">
        <f t="shared" si="54"/>
        <v>330</v>
      </c>
      <c r="C48">
        <f>+C46+10</f>
        <v>220</v>
      </c>
      <c r="E48" t="s">
        <v>261</v>
      </c>
      <c r="F48">
        <f>IF((240+420)/2&gt;($B48+$C48),($B48+$C48),(240+420)/2)</f>
        <v>330</v>
      </c>
      <c r="G48">
        <f t="shared" si="37"/>
        <v>220</v>
      </c>
      <c r="H48">
        <f t="shared" si="38"/>
        <v>1650</v>
      </c>
      <c r="I48">
        <f t="shared" si="39"/>
        <v>990</v>
      </c>
      <c r="J48">
        <f t="shared" si="40"/>
        <v>792</v>
      </c>
      <c r="K48">
        <f t="shared" si="41"/>
        <v>-220</v>
      </c>
      <c r="L48">
        <f t="shared" si="42"/>
        <v>40</v>
      </c>
      <c r="M48">
        <f t="shared" si="43"/>
        <v>48</v>
      </c>
      <c r="N48">
        <f>M48*$N$2+M49*(1-$N$2)</f>
        <v>-63.999999999999972</v>
      </c>
      <c r="O48" t="str">
        <f t="shared" ref="O48" si="57">B48&amp;"+"&amp;C48</f>
        <v>330+220</v>
      </c>
    </row>
    <row r="49" spans="1:15">
      <c r="B49">
        <f t="shared" si="54"/>
        <v>330</v>
      </c>
      <c r="C49">
        <f>C48</f>
        <v>220</v>
      </c>
      <c r="E49" t="s">
        <v>263</v>
      </c>
      <c r="F49">
        <f>IF((120+260)/2&gt;($B49+$C49),($B49+$C49),(120+260)/2)</f>
        <v>190</v>
      </c>
      <c r="G49">
        <f t="shared" si="37"/>
        <v>360</v>
      </c>
      <c r="H49">
        <f t="shared" si="38"/>
        <v>950</v>
      </c>
      <c r="I49">
        <f t="shared" si="39"/>
        <v>990</v>
      </c>
      <c r="J49">
        <f t="shared" si="40"/>
        <v>792</v>
      </c>
      <c r="K49">
        <f t="shared" si="41"/>
        <v>-360</v>
      </c>
      <c r="L49">
        <f t="shared" si="42"/>
        <v>40</v>
      </c>
      <c r="M49">
        <f t="shared" si="43"/>
        <v>-512</v>
      </c>
    </row>
    <row r="50" spans="1:15">
      <c r="A50">
        <f t="shared" ref="A50" si="58">A48+2</f>
        <v>47</v>
      </c>
      <c r="B50">
        <f t="shared" si="54"/>
        <v>330</v>
      </c>
      <c r="C50">
        <f>+C48+10</f>
        <v>230</v>
      </c>
      <c r="E50" t="s">
        <v>261</v>
      </c>
      <c r="F50">
        <f>IF((240+420)/2&gt;($B50+$C50),($B50+$C50),(240+420)/2)</f>
        <v>330</v>
      </c>
      <c r="G50">
        <f t="shared" si="37"/>
        <v>230</v>
      </c>
      <c r="H50">
        <f t="shared" si="38"/>
        <v>1650</v>
      </c>
      <c r="I50">
        <f t="shared" si="39"/>
        <v>990</v>
      </c>
      <c r="J50">
        <f t="shared" si="40"/>
        <v>828</v>
      </c>
      <c r="K50">
        <f t="shared" si="41"/>
        <v>-230</v>
      </c>
      <c r="L50">
        <f t="shared" si="42"/>
        <v>40</v>
      </c>
      <c r="M50">
        <f t="shared" si="43"/>
        <v>22</v>
      </c>
      <c r="N50">
        <f>M50*$N$2+M51*(1-$N$2)</f>
        <v>-89.999999999999972</v>
      </c>
      <c r="O50" t="str">
        <f t="shared" ref="O50" si="59">B50&amp;"+"&amp;C50</f>
        <v>330+230</v>
      </c>
    </row>
    <row r="51" spans="1:15">
      <c r="B51">
        <f t="shared" si="54"/>
        <v>330</v>
      </c>
      <c r="C51">
        <f>C50</f>
        <v>230</v>
      </c>
      <c r="E51" t="s">
        <v>263</v>
      </c>
      <c r="F51">
        <f>IF((120+260)/2&gt;($B51+$C51),($B51+$C51),(120+260)/2)</f>
        <v>190</v>
      </c>
      <c r="G51">
        <f t="shared" si="37"/>
        <v>370</v>
      </c>
      <c r="H51">
        <f t="shared" si="38"/>
        <v>950</v>
      </c>
      <c r="I51">
        <f t="shared" si="39"/>
        <v>990</v>
      </c>
      <c r="J51">
        <f t="shared" si="40"/>
        <v>828</v>
      </c>
      <c r="K51">
        <f t="shared" si="41"/>
        <v>-370</v>
      </c>
      <c r="L51">
        <f t="shared" si="42"/>
        <v>40</v>
      </c>
      <c r="M51">
        <f t="shared" si="43"/>
        <v>-538</v>
      </c>
    </row>
    <row r="52" spans="1:15">
      <c r="A52">
        <f t="shared" ref="A52" si="60">A50+2</f>
        <v>49</v>
      </c>
      <c r="B52">
        <f t="shared" si="54"/>
        <v>330</v>
      </c>
      <c r="C52">
        <f>+C50+10</f>
        <v>240</v>
      </c>
      <c r="E52" t="s">
        <v>261</v>
      </c>
      <c r="F52">
        <f>IF((240+420)/2&gt;($B52+$C52),($B52+$C52),(240+420)/2)</f>
        <v>330</v>
      </c>
      <c r="G52">
        <f t="shared" si="37"/>
        <v>240</v>
      </c>
      <c r="H52">
        <f t="shared" si="38"/>
        <v>1650</v>
      </c>
      <c r="I52">
        <f t="shared" si="39"/>
        <v>990</v>
      </c>
      <c r="J52">
        <f t="shared" si="40"/>
        <v>864</v>
      </c>
      <c r="K52">
        <f t="shared" si="41"/>
        <v>-240</v>
      </c>
      <c r="L52">
        <f t="shared" si="42"/>
        <v>40</v>
      </c>
      <c r="M52">
        <f t="shared" si="43"/>
        <v>-4</v>
      </c>
      <c r="N52">
        <f>M52*$N$2+M53*(1-$N$2)</f>
        <v>-115.99999999999997</v>
      </c>
      <c r="O52" t="str">
        <f t="shared" ref="O52" si="61">B52&amp;"+"&amp;C52</f>
        <v>330+240</v>
      </c>
    </row>
    <row r="53" spans="1:15">
      <c r="B53">
        <f t="shared" si="54"/>
        <v>330</v>
      </c>
      <c r="C53">
        <f>C52</f>
        <v>240</v>
      </c>
      <c r="E53" t="s">
        <v>263</v>
      </c>
      <c r="F53">
        <f>IF((120+260)/2&gt;($B53+$C53),($B53+$C53),(120+260)/2)</f>
        <v>190</v>
      </c>
      <c r="G53">
        <f t="shared" si="37"/>
        <v>380</v>
      </c>
      <c r="H53">
        <f t="shared" si="38"/>
        <v>950</v>
      </c>
      <c r="I53">
        <f t="shared" si="39"/>
        <v>990</v>
      </c>
      <c r="J53">
        <f t="shared" si="40"/>
        <v>864</v>
      </c>
      <c r="K53">
        <f t="shared" si="41"/>
        <v>-380</v>
      </c>
      <c r="L53">
        <f t="shared" si="42"/>
        <v>40</v>
      </c>
      <c r="M53">
        <f t="shared" si="43"/>
        <v>-564</v>
      </c>
    </row>
    <row r="54" spans="1:15">
      <c r="A54">
        <f t="shared" ref="A54" si="62">A52+2</f>
        <v>51</v>
      </c>
      <c r="B54">
        <f t="shared" si="54"/>
        <v>330</v>
      </c>
      <c r="C54">
        <f>+C52+10</f>
        <v>250</v>
      </c>
      <c r="E54" t="s">
        <v>261</v>
      </c>
      <c r="F54">
        <f>IF((240+420)/2&gt;($B54+$C54),($B54+$C54),(240+420)/2)</f>
        <v>330</v>
      </c>
      <c r="G54">
        <f t="shared" si="37"/>
        <v>250</v>
      </c>
      <c r="H54">
        <f t="shared" si="38"/>
        <v>1650</v>
      </c>
      <c r="I54">
        <f t="shared" si="39"/>
        <v>990</v>
      </c>
      <c r="J54">
        <f t="shared" si="40"/>
        <v>900</v>
      </c>
      <c r="K54">
        <f t="shared" si="41"/>
        <v>-250</v>
      </c>
      <c r="L54">
        <f t="shared" si="42"/>
        <v>40</v>
      </c>
      <c r="M54">
        <f t="shared" si="43"/>
        <v>-30</v>
      </c>
      <c r="N54">
        <f>M54*$N$2+M55*(1-$N$2)</f>
        <v>-141.99999999999997</v>
      </c>
      <c r="O54" t="str">
        <f t="shared" ref="O54" si="63">B54&amp;"+"&amp;C54</f>
        <v>330+250</v>
      </c>
    </row>
    <row r="55" spans="1:15">
      <c r="B55">
        <f t="shared" si="54"/>
        <v>330</v>
      </c>
      <c r="C55">
        <f>C54</f>
        <v>250</v>
      </c>
      <c r="E55" t="s">
        <v>263</v>
      </c>
      <c r="F55">
        <f>IF((120+260)/2&gt;($B55+$C55),($B55+$C55),(120+260)/2)</f>
        <v>190</v>
      </c>
      <c r="G55">
        <f t="shared" si="37"/>
        <v>390</v>
      </c>
      <c r="H55">
        <f t="shared" si="38"/>
        <v>950</v>
      </c>
      <c r="I55">
        <f t="shared" si="39"/>
        <v>990</v>
      </c>
      <c r="J55">
        <f t="shared" si="40"/>
        <v>900</v>
      </c>
      <c r="K55">
        <f t="shared" si="41"/>
        <v>-390</v>
      </c>
      <c r="L55">
        <f t="shared" si="42"/>
        <v>40</v>
      </c>
      <c r="M55">
        <f t="shared" si="43"/>
        <v>-590</v>
      </c>
    </row>
  </sheetData>
  <sheetProtection sheet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A930-55B0-5E4A-9DE6-14D16C18C41F}">
  <sheetPr codeName="Sheet11"/>
  <dimension ref="A1:Y55"/>
  <sheetViews>
    <sheetView zoomScale="53" zoomScaleNormal="53" workbookViewId="0">
      <selection activeCell="Z38" sqref="Z38"/>
    </sheetView>
  </sheetViews>
  <sheetFormatPr defaultColWidth="11" defaultRowHeight="15.75"/>
  <cols>
    <col min="19" max="19" width="13.875" customWidth="1"/>
    <col min="24" max="24" width="29.375" customWidth="1"/>
    <col min="2000" max="2000" width="2.5" customWidth="1"/>
  </cols>
  <sheetData>
    <row r="1" spans="1:23">
      <c r="M1" s="80" t="s">
        <v>270</v>
      </c>
    </row>
    <row r="2" spans="1:23">
      <c r="H2">
        <v>5</v>
      </c>
      <c r="I2">
        <v>3</v>
      </c>
      <c r="J2">
        <v>3.6</v>
      </c>
      <c r="M2" s="81" t="s">
        <v>271</v>
      </c>
      <c r="N2" s="81">
        <v>0.4</v>
      </c>
      <c r="S2" t="s">
        <v>272</v>
      </c>
      <c r="T2">
        <v>0.45</v>
      </c>
    </row>
    <row r="3" spans="1:23">
      <c r="B3" t="s">
        <v>260</v>
      </c>
      <c r="C3" t="s">
        <v>259</v>
      </c>
      <c r="E3" t="s">
        <v>262</v>
      </c>
      <c r="G3" t="s">
        <v>237</v>
      </c>
      <c r="H3" t="s">
        <v>31</v>
      </c>
      <c r="I3" t="s">
        <v>265</v>
      </c>
      <c r="J3" t="s">
        <v>265</v>
      </c>
      <c r="K3" t="s">
        <v>264</v>
      </c>
      <c r="L3" t="s">
        <v>266</v>
      </c>
      <c r="M3" t="s">
        <v>225</v>
      </c>
      <c r="N3" t="s">
        <v>267</v>
      </c>
      <c r="O3" t="s">
        <v>268</v>
      </c>
      <c r="P3" s="83">
        <f>N2*N4+'iterations 8 (SH)'!P4</f>
        <v>542.40000000000009</v>
      </c>
      <c r="S3" t="s">
        <v>273</v>
      </c>
      <c r="T3">
        <f>1-T2</f>
        <v>0.55000000000000004</v>
      </c>
    </row>
    <row r="4" spans="1:23">
      <c r="A4">
        <v>1</v>
      </c>
      <c r="B4" s="82">
        <v>190</v>
      </c>
      <c r="C4">
        <v>0</v>
      </c>
      <c r="E4" t="s">
        <v>261</v>
      </c>
      <c r="F4">
        <f>IF((240+420)/2&gt;($B4+$C4),($B4+$C4),(240+420)/2)</f>
        <v>190</v>
      </c>
      <c r="G4">
        <f t="shared" ref="G4:G55" si="0">C4+B4-F4</f>
        <v>0</v>
      </c>
      <c r="H4">
        <f t="shared" ref="H4:H55" si="1">F4*$H$2</f>
        <v>950</v>
      </c>
      <c r="I4">
        <f t="shared" ref="I4:I55" si="2">$I$2*B4</f>
        <v>570</v>
      </c>
      <c r="J4">
        <f t="shared" ref="J4:J55" si="3">$J$2*C4</f>
        <v>0</v>
      </c>
      <c r="K4">
        <f t="shared" ref="K4:K55" si="4">-G4*3*0.5+0.5*G4</f>
        <v>0</v>
      </c>
      <c r="L4">
        <f t="shared" ref="L4:L55" si="5">2*20</f>
        <v>40</v>
      </c>
      <c r="M4">
        <f t="shared" ref="M4:M55" si="6">H4-SUM(I4:L4)</f>
        <v>340</v>
      </c>
      <c r="N4">
        <f>M4*$N$2+M5*(1-$N$2)</f>
        <v>340</v>
      </c>
      <c r="O4" t="str">
        <f>B4&amp;"+"&amp;C4</f>
        <v>190+0</v>
      </c>
      <c r="S4" s="81" t="s">
        <v>271</v>
      </c>
      <c r="T4" s="81">
        <v>0.4</v>
      </c>
    </row>
    <row r="5" spans="1:23">
      <c r="B5">
        <f>B4</f>
        <v>190</v>
      </c>
      <c r="C5">
        <f>C4</f>
        <v>0</v>
      </c>
      <c r="E5" t="s">
        <v>263</v>
      </c>
      <c r="F5">
        <f>IF((120+260)/2&gt;($B5+$C5),($B5+$C5),(120+260)/2)</f>
        <v>190</v>
      </c>
      <c r="G5">
        <f t="shared" si="0"/>
        <v>0</v>
      </c>
      <c r="H5">
        <f t="shared" si="1"/>
        <v>950</v>
      </c>
      <c r="I5">
        <f t="shared" si="2"/>
        <v>570</v>
      </c>
      <c r="J5">
        <f t="shared" si="3"/>
        <v>0</v>
      </c>
      <c r="K5">
        <f t="shared" si="4"/>
        <v>0</v>
      </c>
      <c r="L5">
        <f t="shared" si="5"/>
        <v>40</v>
      </c>
      <c r="M5">
        <f t="shared" si="6"/>
        <v>340</v>
      </c>
      <c r="Q5">
        <v>170</v>
      </c>
      <c r="S5" s="81" t="s">
        <v>274</v>
      </c>
      <c r="T5">
        <f>1-T4</f>
        <v>0.6</v>
      </c>
    </row>
    <row r="6" spans="1:23">
      <c r="A6">
        <f>A4+2</f>
        <v>3</v>
      </c>
      <c r="B6">
        <f>B5</f>
        <v>190</v>
      </c>
      <c r="C6">
        <f>+C4+10</f>
        <v>10</v>
      </c>
      <c r="E6" t="s">
        <v>261</v>
      </c>
      <c r="F6">
        <f>IF((240+420)/2&gt;($B6+$C6),($B6+$C6),(240+420)/2)</f>
        <v>200</v>
      </c>
      <c r="G6">
        <f t="shared" si="0"/>
        <v>0</v>
      </c>
      <c r="H6">
        <f t="shared" si="1"/>
        <v>1000</v>
      </c>
      <c r="I6">
        <f t="shared" si="2"/>
        <v>570</v>
      </c>
      <c r="J6">
        <f t="shared" si="3"/>
        <v>36</v>
      </c>
      <c r="K6">
        <f t="shared" si="4"/>
        <v>0</v>
      </c>
      <c r="L6">
        <f t="shared" si="5"/>
        <v>40</v>
      </c>
      <c r="M6">
        <f t="shared" si="6"/>
        <v>354</v>
      </c>
      <c r="N6">
        <f>M6*$N$2+M7*(1-$N$2)</f>
        <v>330</v>
      </c>
      <c r="O6" t="str">
        <f>B6&amp;"+"&amp;C6</f>
        <v>190+10</v>
      </c>
      <c r="Q6">
        <f>Q5+10</f>
        <v>180</v>
      </c>
      <c r="S6" s="81" t="s">
        <v>269</v>
      </c>
      <c r="T6" s="81">
        <v>0.8</v>
      </c>
    </row>
    <row r="7" spans="1:23">
      <c r="B7">
        <f t="shared" ref="B7:B55" si="7">B6</f>
        <v>190</v>
      </c>
      <c r="C7">
        <f>C6</f>
        <v>10</v>
      </c>
      <c r="E7" t="s">
        <v>263</v>
      </c>
      <c r="F7">
        <f>IF((120+260)/2&gt;($B7+$C7),($B7+$C7),(120+260)/2)</f>
        <v>190</v>
      </c>
      <c r="G7">
        <f t="shared" si="0"/>
        <v>10</v>
      </c>
      <c r="H7">
        <f t="shared" si="1"/>
        <v>950</v>
      </c>
      <c r="I7">
        <f t="shared" si="2"/>
        <v>570</v>
      </c>
      <c r="J7">
        <f t="shared" si="3"/>
        <v>36</v>
      </c>
      <c r="K7">
        <f t="shared" si="4"/>
        <v>-10</v>
      </c>
      <c r="L7">
        <f t="shared" si="5"/>
        <v>40</v>
      </c>
      <c r="M7">
        <f t="shared" si="6"/>
        <v>314</v>
      </c>
      <c r="Q7">
        <f t="shared" ref="Q7:Q30" si="8">Q6+10</f>
        <v>190</v>
      </c>
      <c r="S7" s="81" t="s">
        <v>275</v>
      </c>
      <c r="T7">
        <f>1-T6</f>
        <v>0.19999999999999996</v>
      </c>
    </row>
    <row r="8" spans="1:23">
      <c r="A8">
        <f>A6+2</f>
        <v>5</v>
      </c>
      <c r="B8">
        <f t="shared" si="7"/>
        <v>190</v>
      </c>
      <c r="C8">
        <f>+C6+10</f>
        <v>20</v>
      </c>
      <c r="E8" t="s">
        <v>261</v>
      </c>
      <c r="F8">
        <f>IF((240+420)/2&gt;($B8+$C8),($B8+$C8),(240+420)/2)</f>
        <v>210</v>
      </c>
      <c r="G8">
        <f t="shared" si="0"/>
        <v>0</v>
      </c>
      <c r="H8">
        <f t="shared" si="1"/>
        <v>1050</v>
      </c>
      <c r="I8">
        <f t="shared" si="2"/>
        <v>570</v>
      </c>
      <c r="J8">
        <f t="shared" si="3"/>
        <v>72</v>
      </c>
      <c r="K8">
        <f t="shared" si="4"/>
        <v>0</v>
      </c>
      <c r="L8">
        <f t="shared" si="5"/>
        <v>40</v>
      </c>
      <c r="M8">
        <f t="shared" si="6"/>
        <v>368</v>
      </c>
      <c r="N8">
        <f>M8*$N$2+M9*(1-$N$2)</f>
        <v>320</v>
      </c>
      <c r="O8" t="str">
        <f t="shared" ref="O8" si="9">B8&amp;"+"&amp;C8</f>
        <v>190+20</v>
      </c>
      <c r="Q8">
        <f t="shared" si="8"/>
        <v>200</v>
      </c>
    </row>
    <row r="9" spans="1:23">
      <c r="B9">
        <f t="shared" si="7"/>
        <v>190</v>
      </c>
      <c r="C9">
        <f>C8</f>
        <v>20</v>
      </c>
      <c r="E9" t="s">
        <v>263</v>
      </c>
      <c r="F9">
        <f>IF((120+260)/2&gt;($B9+$C9),($B9+$C9),(120+260)/2)</f>
        <v>190</v>
      </c>
      <c r="G9">
        <f t="shared" si="0"/>
        <v>20</v>
      </c>
      <c r="H9">
        <f t="shared" si="1"/>
        <v>950</v>
      </c>
      <c r="I9">
        <f t="shared" si="2"/>
        <v>570</v>
      </c>
      <c r="J9">
        <f t="shared" si="3"/>
        <v>72</v>
      </c>
      <c r="K9">
        <f t="shared" si="4"/>
        <v>-20</v>
      </c>
      <c r="L9">
        <f t="shared" si="5"/>
        <v>40</v>
      </c>
      <c r="M9">
        <f t="shared" si="6"/>
        <v>288</v>
      </c>
      <c r="Q9">
        <f t="shared" si="8"/>
        <v>210</v>
      </c>
    </row>
    <row r="10" spans="1:23">
      <c r="A10">
        <f t="shared" ref="A10" si="10">A8+2</f>
        <v>7</v>
      </c>
      <c r="B10">
        <f>B9</f>
        <v>190</v>
      </c>
      <c r="C10">
        <f>+C8+10</f>
        <v>30</v>
      </c>
      <c r="E10" t="s">
        <v>261</v>
      </c>
      <c r="F10">
        <f>IF((240+420)/2&gt;($B10+$C10),($B10+$C10),(240+420)/2)</f>
        <v>220</v>
      </c>
      <c r="G10">
        <f t="shared" si="0"/>
        <v>0</v>
      </c>
      <c r="H10">
        <f t="shared" si="1"/>
        <v>1100</v>
      </c>
      <c r="I10">
        <f t="shared" si="2"/>
        <v>570</v>
      </c>
      <c r="J10">
        <f t="shared" si="3"/>
        <v>108</v>
      </c>
      <c r="K10">
        <f t="shared" si="4"/>
        <v>0</v>
      </c>
      <c r="L10">
        <f t="shared" si="5"/>
        <v>40</v>
      </c>
      <c r="M10">
        <f t="shared" si="6"/>
        <v>382</v>
      </c>
      <c r="N10">
        <f>M10*$N$2+M11*(1-$N$2)</f>
        <v>310</v>
      </c>
      <c r="O10" t="str">
        <f t="shared" ref="O10" si="11">B10&amp;"+"&amp;C10</f>
        <v>190+30</v>
      </c>
      <c r="Q10">
        <f t="shared" si="8"/>
        <v>220</v>
      </c>
    </row>
    <row r="11" spans="1:23">
      <c r="B11">
        <f t="shared" si="7"/>
        <v>190</v>
      </c>
      <c r="C11">
        <f>C10</f>
        <v>30</v>
      </c>
      <c r="E11" t="s">
        <v>263</v>
      </c>
      <c r="F11">
        <f>IF((120+260)/2&gt;($B11+$C11),($B11+$C11),(120+260)/2)</f>
        <v>190</v>
      </c>
      <c r="G11">
        <f t="shared" si="0"/>
        <v>30</v>
      </c>
      <c r="H11">
        <f t="shared" si="1"/>
        <v>950</v>
      </c>
      <c r="I11">
        <f t="shared" si="2"/>
        <v>570</v>
      </c>
      <c r="J11">
        <f t="shared" si="3"/>
        <v>108</v>
      </c>
      <c r="K11">
        <f t="shared" si="4"/>
        <v>-30</v>
      </c>
      <c r="L11">
        <f t="shared" si="5"/>
        <v>40</v>
      </c>
      <c r="M11">
        <f t="shared" si="6"/>
        <v>262</v>
      </c>
      <c r="Q11">
        <f t="shared" si="8"/>
        <v>230</v>
      </c>
    </row>
    <row r="12" spans="1:23">
      <c r="A12">
        <f t="shared" ref="A12" si="12">A10+2</f>
        <v>9</v>
      </c>
      <c r="B12">
        <f t="shared" si="7"/>
        <v>190</v>
      </c>
      <c r="C12">
        <f>+C10+10</f>
        <v>40</v>
      </c>
      <c r="E12" t="s">
        <v>261</v>
      </c>
      <c r="F12">
        <f>IF((240+420)/2&gt;($B12+$C12),($B12+$C12),(240+420)/2)</f>
        <v>230</v>
      </c>
      <c r="G12">
        <f t="shared" si="0"/>
        <v>0</v>
      </c>
      <c r="H12">
        <f t="shared" si="1"/>
        <v>1150</v>
      </c>
      <c r="I12">
        <f t="shared" si="2"/>
        <v>570</v>
      </c>
      <c r="J12">
        <f t="shared" si="3"/>
        <v>144</v>
      </c>
      <c r="K12">
        <f t="shared" si="4"/>
        <v>0</v>
      </c>
      <c r="L12">
        <f t="shared" si="5"/>
        <v>40</v>
      </c>
      <c r="M12">
        <f t="shared" si="6"/>
        <v>396</v>
      </c>
      <c r="N12">
        <f>M12*$N$2+M13*(1-$N$2)</f>
        <v>300</v>
      </c>
      <c r="O12" t="str">
        <f t="shared" ref="O12" si="13">B12&amp;"+"&amp;C12</f>
        <v>190+40</v>
      </c>
      <c r="Q12">
        <f t="shared" si="8"/>
        <v>240</v>
      </c>
    </row>
    <row r="13" spans="1:23" ht="16.5" thickBot="1">
      <c r="B13">
        <f t="shared" si="7"/>
        <v>190</v>
      </c>
      <c r="C13">
        <f>C12</f>
        <v>40</v>
      </c>
      <c r="E13" t="s">
        <v>263</v>
      </c>
      <c r="F13">
        <f>IF((120+260)/2&gt;($B13+$C13),($B13+$C13),(120+260)/2)</f>
        <v>190</v>
      </c>
      <c r="G13">
        <f t="shared" si="0"/>
        <v>40</v>
      </c>
      <c r="H13">
        <f t="shared" si="1"/>
        <v>950</v>
      </c>
      <c r="I13">
        <f t="shared" si="2"/>
        <v>570</v>
      </c>
      <c r="J13">
        <f t="shared" si="3"/>
        <v>144</v>
      </c>
      <c r="K13">
        <f t="shared" si="4"/>
        <v>-40</v>
      </c>
      <c r="L13">
        <f t="shared" si="5"/>
        <v>40</v>
      </c>
      <c r="M13">
        <f t="shared" si="6"/>
        <v>236</v>
      </c>
      <c r="Q13">
        <f t="shared" si="8"/>
        <v>250</v>
      </c>
      <c r="S13" s="81" t="s">
        <v>279</v>
      </c>
      <c r="T13" s="84" t="s">
        <v>280</v>
      </c>
      <c r="U13" s="85"/>
      <c r="W13" s="86">
        <f>T4*T3/(T4*T3+T6*T2)</f>
        <v>0.37931034482758619</v>
      </c>
    </row>
    <row r="14" spans="1:23">
      <c r="A14">
        <f t="shared" ref="A14" si="14">A12+2</f>
        <v>11</v>
      </c>
      <c r="B14">
        <f t="shared" si="7"/>
        <v>190</v>
      </c>
      <c r="C14">
        <f>+C12+10</f>
        <v>50</v>
      </c>
      <c r="E14" t="s">
        <v>261</v>
      </c>
      <c r="F14">
        <f>IF((240+420)/2&gt;($B14+$C14),($B14+$C14),(240+420)/2)</f>
        <v>240</v>
      </c>
      <c r="G14">
        <f t="shared" si="0"/>
        <v>0</v>
      </c>
      <c r="H14">
        <f t="shared" si="1"/>
        <v>1200</v>
      </c>
      <c r="I14">
        <f t="shared" si="2"/>
        <v>570</v>
      </c>
      <c r="J14">
        <f t="shared" si="3"/>
        <v>180</v>
      </c>
      <c r="K14">
        <f t="shared" si="4"/>
        <v>0</v>
      </c>
      <c r="L14">
        <f t="shared" si="5"/>
        <v>40</v>
      </c>
      <c r="M14">
        <f t="shared" si="6"/>
        <v>410</v>
      </c>
      <c r="N14">
        <f>M14*$N$2+M15*(1-$N$2)</f>
        <v>290</v>
      </c>
      <c r="O14" t="str">
        <f t="shared" ref="O14" si="15">B14&amp;"+"&amp;C14</f>
        <v>190+50</v>
      </c>
      <c r="Q14">
        <f t="shared" si="8"/>
        <v>260</v>
      </c>
      <c r="T14" t="s">
        <v>281</v>
      </c>
    </row>
    <row r="15" spans="1:23">
      <c r="B15">
        <f t="shared" si="7"/>
        <v>190</v>
      </c>
      <c r="C15">
        <f>C14</f>
        <v>50</v>
      </c>
      <c r="E15" t="s">
        <v>263</v>
      </c>
      <c r="F15">
        <f>IF((120+260)/2&gt;($B15+$C15),($B15+$C15),(120+260)/2)</f>
        <v>190</v>
      </c>
      <c r="G15">
        <f t="shared" si="0"/>
        <v>50</v>
      </c>
      <c r="H15">
        <f t="shared" si="1"/>
        <v>950</v>
      </c>
      <c r="I15">
        <f t="shared" si="2"/>
        <v>570</v>
      </c>
      <c r="J15">
        <f t="shared" si="3"/>
        <v>180</v>
      </c>
      <c r="K15">
        <f t="shared" si="4"/>
        <v>-50</v>
      </c>
      <c r="L15">
        <f t="shared" si="5"/>
        <v>40</v>
      </c>
      <c r="M15">
        <f t="shared" si="6"/>
        <v>210</v>
      </c>
      <c r="Q15">
        <f t="shared" si="8"/>
        <v>270</v>
      </c>
    </row>
    <row r="16" spans="1:23">
      <c r="A16">
        <f t="shared" ref="A16" si="16">A14+2</f>
        <v>13</v>
      </c>
      <c r="B16">
        <f t="shared" si="7"/>
        <v>190</v>
      </c>
      <c r="C16">
        <f>+C14+10</f>
        <v>60</v>
      </c>
      <c r="E16" t="s">
        <v>261</v>
      </c>
      <c r="F16">
        <f>IF((240+420)/2&gt;($B16+$C16),($B16+$C16),(240+420)/2)</f>
        <v>250</v>
      </c>
      <c r="G16">
        <f t="shared" si="0"/>
        <v>0</v>
      </c>
      <c r="H16">
        <f t="shared" si="1"/>
        <v>1250</v>
      </c>
      <c r="I16">
        <f t="shared" si="2"/>
        <v>570</v>
      </c>
      <c r="J16">
        <f t="shared" si="3"/>
        <v>216</v>
      </c>
      <c r="K16">
        <f t="shared" si="4"/>
        <v>0</v>
      </c>
      <c r="L16">
        <f t="shared" si="5"/>
        <v>40</v>
      </c>
      <c r="M16">
        <f t="shared" si="6"/>
        <v>424</v>
      </c>
      <c r="N16">
        <f>M16*$N$2+M17*(1-$N$2)</f>
        <v>280</v>
      </c>
      <c r="O16" t="str">
        <f t="shared" ref="O16" si="17">B16&amp;"+"&amp;C16</f>
        <v>190+60</v>
      </c>
      <c r="Q16">
        <f t="shared" si="8"/>
        <v>280</v>
      </c>
      <c r="S16" s="81" t="s">
        <v>285</v>
      </c>
      <c r="W16" s="87">
        <f>1-W13</f>
        <v>0.62068965517241381</v>
      </c>
    </row>
    <row r="17" spans="1:25">
      <c r="B17">
        <f t="shared" si="7"/>
        <v>190</v>
      </c>
      <c r="C17">
        <f>C16</f>
        <v>60</v>
      </c>
      <c r="E17" t="s">
        <v>263</v>
      </c>
      <c r="F17">
        <f>IF((120+260)/2&gt;($B17+$C17),($B17+$C17),(120+260)/2)</f>
        <v>190</v>
      </c>
      <c r="G17">
        <f t="shared" si="0"/>
        <v>60</v>
      </c>
      <c r="H17">
        <f t="shared" si="1"/>
        <v>950</v>
      </c>
      <c r="I17">
        <f t="shared" si="2"/>
        <v>570</v>
      </c>
      <c r="J17">
        <f t="shared" si="3"/>
        <v>216</v>
      </c>
      <c r="K17">
        <f t="shared" si="4"/>
        <v>-60</v>
      </c>
      <c r="L17">
        <f t="shared" si="5"/>
        <v>40</v>
      </c>
      <c r="M17">
        <f t="shared" si="6"/>
        <v>184</v>
      </c>
      <c r="Q17">
        <f t="shared" si="8"/>
        <v>290</v>
      </c>
    </row>
    <row r="18" spans="1:25" ht="16.5" thickBot="1">
      <c r="A18">
        <f t="shared" ref="A18" si="18">A16+2</f>
        <v>15</v>
      </c>
      <c r="B18">
        <f t="shared" si="7"/>
        <v>190</v>
      </c>
      <c r="C18">
        <f>+C16+10</f>
        <v>70</v>
      </c>
      <c r="E18" t="s">
        <v>261</v>
      </c>
      <c r="F18">
        <f>IF((240+420)/2&gt;($B18+$C18),($B18+$C18),(240+420)/2)</f>
        <v>260</v>
      </c>
      <c r="G18">
        <f t="shared" si="0"/>
        <v>0</v>
      </c>
      <c r="H18">
        <f t="shared" si="1"/>
        <v>1300</v>
      </c>
      <c r="I18">
        <f t="shared" si="2"/>
        <v>570</v>
      </c>
      <c r="J18">
        <f t="shared" si="3"/>
        <v>252</v>
      </c>
      <c r="K18">
        <f t="shared" si="4"/>
        <v>0</v>
      </c>
      <c r="L18">
        <f t="shared" si="5"/>
        <v>40</v>
      </c>
      <c r="M18">
        <f t="shared" si="6"/>
        <v>438</v>
      </c>
      <c r="N18">
        <f>M18*$N$2+M19*(1-$N$2)</f>
        <v>270</v>
      </c>
      <c r="O18" t="str">
        <f t="shared" ref="O18" si="19">B18&amp;"+"&amp;C18</f>
        <v>190+70</v>
      </c>
      <c r="Q18">
        <f t="shared" si="8"/>
        <v>300</v>
      </c>
      <c r="S18" s="81" t="s">
        <v>282</v>
      </c>
      <c r="T18" s="84" t="s">
        <v>283</v>
      </c>
      <c r="U18" s="85"/>
      <c r="W18" s="87">
        <f>(T5*T3)/(T5*T3+T7*T2)</f>
        <v>0.78571428571428581</v>
      </c>
    </row>
    <row r="19" spans="1:25">
      <c r="B19">
        <f t="shared" si="7"/>
        <v>190</v>
      </c>
      <c r="C19">
        <f>C18</f>
        <v>70</v>
      </c>
      <c r="E19" t="s">
        <v>263</v>
      </c>
      <c r="F19">
        <f>IF((120+260)/2&gt;($B19+$C19),($B19+$C19),(120+260)/2)</f>
        <v>190</v>
      </c>
      <c r="G19">
        <f t="shared" si="0"/>
        <v>70</v>
      </c>
      <c r="H19">
        <f t="shared" si="1"/>
        <v>950</v>
      </c>
      <c r="I19">
        <f t="shared" si="2"/>
        <v>570</v>
      </c>
      <c r="J19">
        <f t="shared" si="3"/>
        <v>252</v>
      </c>
      <c r="K19">
        <f t="shared" si="4"/>
        <v>-70</v>
      </c>
      <c r="L19">
        <f t="shared" si="5"/>
        <v>40</v>
      </c>
      <c r="M19">
        <f t="shared" si="6"/>
        <v>158</v>
      </c>
      <c r="Q19">
        <f t="shared" si="8"/>
        <v>310</v>
      </c>
      <c r="T19" t="s">
        <v>284</v>
      </c>
    </row>
    <row r="20" spans="1:25">
      <c r="A20">
        <f t="shared" ref="A20" si="20">A18+2</f>
        <v>17</v>
      </c>
      <c r="B20">
        <f t="shared" si="7"/>
        <v>190</v>
      </c>
      <c r="C20">
        <f>+C18+10</f>
        <v>80</v>
      </c>
      <c r="E20" t="s">
        <v>261</v>
      </c>
      <c r="F20">
        <f>IF((240+420)/2&gt;($B20+$C20),($B20+$C20),(240+420)/2)</f>
        <v>270</v>
      </c>
      <c r="G20">
        <f t="shared" si="0"/>
        <v>0</v>
      </c>
      <c r="H20">
        <f t="shared" si="1"/>
        <v>1350</v>
      </c>
      <c r="I20">
        <f t="shared" si="2"/>
        <v>570</v>
      </c>
      <c r="J20">
        <f t="shared" si="3"/>
        <v>288</v>
      </c>
      <c r="K20">
        <f t="shared" si="4"/>
        <v>0</v>
      </c>
      <c r="L20">
        <f t="shared" si="5"/>
        <v>40</v>
      </c>
      <c r="M20">
        <f t="shared" si="6"/>
        <v>452</v>
      </c>
      <c r="N20">
        <f>M20*$N$2+M21*(1-$N$2)</f>
        <v>260</v>
      </c>
      <c r="O20" t="str">
        <f t="shared" ref="O20" si="21">B20&amp;"+"&amp;C20</f>
        <v>190+80</v>
      </c>
      <c r="Q20">
        <f t="shared" si="8"/>
        <v>320</v>
      </c>
    </row>
    <row r="21" spans="1:25">
      <c r="B21">
        <f t="shared" si="7"/>
        <v>190</v>
      </c>
      <c r="C21">
        <f>C20</f>
        <v>80</v>
      </c>
      <c r="E21" t="s">
        <v>263</v>
      </c>
      <c r="F21">
        <f>IF((120+260)/2&gt;($B21+$C21),($B21+$C21),(120+260)/2)</f>
        <v>190</v>
      </c>
      <c r="G21">
        <f t="shared" si="0"/>
        <v>80</v>
      </c>
      <c r="H21">
        <f t="shared" si="1"/>
        <v>950</v>
      </c>
      <c r="I21">
        <f t="shared" si="2"/>
        <v>570</v>
      </c>
      <c r="J21">
        <f t="shared" si="3"/>
        <v>288</v>
      </c>
      <c r="K21">
        <f t="shared" si="4"/>
        <v>-80</v>
      </c>
      <c r="L21">
        <f t="shared" si="5"/>
        <v>40</v>
      </c>
      <c r="M21">
        <f t="shared" si="6"/>
        <v>132</v>
      </c>
      <c r="Q21">
        <f t="shared" si="8"/>
        <v>330</v>
      </c>
      <c r="S21" s="81" t="s">
        <v>286</v>
      </c>
      <c r="W21" s="87">
        <f>1-W18</f>
        <v>0.21428571428571419</v>
      </c>
    </row>
    <row r="22" spans="1:25">
      <c r="A22">
        <f t="shared" ref="A22" si="22">A20+2</f>
        <v>19</v>
      </c>
      <c r="B22">
        <f t="shared" si="7"/>
        <v>190</v>
      </c>
      <c r="C22">
        <f>+C20+10</f>
        <v>90</v>
      </c>
      <c r="E22" t="s">
        <v>261</v>
      </c>
      <c r="F22">
        <f>IF((240+420)/2&gt;($B22+$C22),($B22+$C22),(240+420)/2)</f>
        <v>280</v>
      </c>
      <c r="G22">
        <f t="shared" si="0"/>
        <v>0</v>
      </c>
      <c r="H22">
        <f t="shared" si="1"/>
        <v>1400</v>
      </c>
      <c r="I22">
        <f t="shared" si="2"/>
        <v>570</v>
      </c>
      <c r="J22">
        <f t="shared" si="3"/>
        <v>324</v>
      </c>
      <c r="K22">
        <f t="shared" si="4"/>
        <v>0</v>
      </c>
      <c r="L22">
        <f t="shared" si="5"/>
        <v>40</v>
      </c>
      <c r="M22">
        <f t="shared" si="6"/>
        <v>466</v>
      </c>
      <c r="N22">
        <f>M22*$N$2+M23*(1-$N$2)</f>
        <v>250</v>
      </c>
      <c r="O22" t="str">
        <f t="shared" ref="O22" si="23">B22&amp;"+"&amp;C22</f>
        <v>190+90</v>
      </c>
      <c r="Q22">
        <f t="shared" si="8"/>
        <v>340</v>
      </c>
    </row>
    <row r="23" spans="1:25">
      <c r="B23">
        <f t="shared" si="7"/>
        <v>190</v>
      </c>
      <c r="C23">
        <f>C22</f>
        <v>90</v>
      </c>
      <c r="E23" t="s">
        <v>263</v>
      </c>
      <c r="F23">
        <f>IF((120+260)/2&gt;($B23+$C23),($B23+$C23),(120+260)/2)</f>
        <v>190</v>
      </c>
      <c r="G23">
        <f t="shared" si="0"/>
        <v>90</v>
      </c>
      <c r="H23">
        <f t="shared" si="1"/>
        <v>950</v>
      </c>
      <c r="I23">
        <f t="shared" si="2"/>
        <v>570</v>
      </c>
      <c r="J23">
        <f t="shared" si="3"/>
        <v>324</v>
      </c>
      <c r="K23">
        <f t="shared" si="4"/>
        <v>-90</v>
      </c>
      <c r="L23">
        <f t="shared" si="5"/>
        <v>40</v>
      </c>
      <c r="M23">
        <f t="shared" si="6"/>
        <v>106</v>
      </c>
      <c r="Q23">
        <f t="shared" si="8"/>
        <v>350</v>
      </c>
    </row>
    <row r="24" spans="1:25" ht="16.5" thickBot="1">
      <c r="A24">
        <f t="shared" ref="A24" si="24">A22+2</f>
        <v>21</v>
      </c>
      <c r="B24">
        <f t="shared" si="7"/>
        <v>190</v>
      </c>
      <c r="C24">
        <f>+C22+10</f>
        <v>100</v>
      </c>
      <c r="E24" t="s">
        <v>261</v>
      </c>
      <c r="F24">
        <f>IF((240+420)/2&gt;($B24+$C24),($B24+$C24),(240+420)/2)</f>
        <v>290</v>
      </c>
      <c r="G24">
        <f t="shared" si="0"/>
        <v>0</v>
      </c>
      <c r="H24">
        <f t="shared" si="1"/>
        <v>1450</v>
      </c>
      <c r="I24">
        <f t="shared" si="2"/>
        <v>570</v>
      </c>
      <c r="J24">
        <f t="shared" si="3"/>
        <v>360</v>
      </c>
      <c r="K24">
        <f t="shared" si="4"/>
        <v>0</v>
      </c>
      <c r="L24">
        <f t="shared" si="5"/>
        <v>40</v>
      </c>
      <c r="M24">
        <f t="shared" si="6"/>
        <v>480</v>
      </c>
      <c r="N24">
        <f>M24*$N$2+M25*(1-$N$2)</f>
        <v>240</v>
      </c>
      <c r="O24" t="str">
        <f t="shared" ref="O24" si="25">B24&amp;"+"&amp;C24</f>
        <v>190+100</v>
      </c>
      <c r="Q24">
        <f t="shared" si="8"/>
        <v>360</v>
      </c>
      <c r="S24" s="81" t="s">
        <v>276</v>
      </c>
      <c r="T24" s="84" t="s">
        <v>277</v>
      </c>
      <c r="U24" s="85"/>
      <c r="W24" s="88" t="s">
        <v>287</v>
      </c>
      <c r="X24" t="str">
        <f>T4&amp;"*"&amp;"["&amp;TEXT(W13,"0.00")&amp;"P(D=H)"&amp;"+"&amp;TEXT(W18,"0.00")&amp;"P(D=L)]="</f>
        <v>0.4*[0.38P(D=H)+0.79P(D=L)]=</v>
      </c>
      <c r="Y24" t="str">
        <f>TEXT(W13,"0.00")&amp;"P(D=H)"</f>
        <v>0.38P(D=H)</v>
      </c>
    </row>
    <row r="25" spans="1:25">
      <c r="B25">
        <f t="shared" si="7"/>
        <v>190</v>
      </c>
      <c r="C25">
        <f>C24</f>
        <v>100</v>
      </c>
      <c r="E25" t="s">
        <v>263</v>
      </c>
      <c r="F25">
        <f>IF((120+260)/2&gt;($B25+$C25),($B25+$C25),(120+260)/2)</f>
        <v>190</v>
      </c>
      <c r="G25">
        <f t="shared" si="0"/>
        <v>100</v>
      </c>
      <c r="H25">
        <f t="shared" si="1"/>
        <v>950</v>
      </c>
      <c r="I25">
        <f t="shared" si="2"/>
        <v>570</v>
      </c>
      <c r="J25">
        <f t="shared" si="3"/>
        <v>360</v>
      </c>
      <c r="K25">
        <f t="shared" si="4"/>
        <v>-100</v>
      </c>
      <c r="L25">
        <f t="shared" si="5"/>
        <v>40</v>
      </c>
      <c r="M25">
        <f t="shared" si="6"/>
        <v>80</v>
      </c>
      <c r="Q25">
        <f>Q24+10</f>
        <v>370</v>
      </c>
      <c r="T25" t="s">
        <v>278</v>
      </c>
      <c r="W25" s="88" t="s">
        <v>287</v>
      </c>
      <c r="X25" t="str">
        <f>"["&amp;TEXT(W13,"0.00")&amp;"P(D=H)"&amp;"+"&amp;TEXT(W18,"0.00")&amp;"P(D=L)]="</f>
        <v>[0.38P(D=H)+0.79P(D=L)]=</v>
      </c>
      <c r="Y25" t="str">
        <f>TEXT(W13/T4,"0.00")&amp;"P(D=H)"</f>
        <v>0.95P(D=H)</v>
      </c>
    </row>
    <row r="26" spans="1:25">
      <c r="A26">
        <f t="shared" ref="A26" si="26">A24+2</f>
        <v>23</v>
      </c>
      <c r="B26">
        <f t="shared" si="7"/>
        <v>190</v>
      </c>
      <c r="C26">
        <f>+C24+10</f>
        <v>110</v>
      </c>
      <c r="E26" t="s">
        <v>261</v>
      </c>
      <c r="F26">
        <f>IF((240+420)/2&gt;($B26+$C26),($B26+$C26),(240+420)/2)</f>
        <v>300</v>
      </c>
      <c r="G26">
        <f t="shared" si="0"/>
        <v>0</v>
      </c>
      <c r="H26">
        <f t="shared" si="1"/>
        <v>1500</v>
      </c>
      <c r="I26">
        <f t="shared" si="2"/>
        <v>570</v>
      </c>
      <c r="J26">
        <f t="shared" si="3"/>
        <v>396</v>
      </c>
      <c r="K26">
        <f t="shared" si="4"/>
        <v>0</v>
      </c>
      <c r="L26">
        <f t="shared" si="5"/>
        <v>40</v>
      </c>
      <c r="M26">
        <f t="shared" si="6"/>
        <v>494</v>
      </c>
      <c r="N26">
        <f>M26*$N$2+M27*(1-$N$2)</f>
        <v>230.00000000000003</v>
      </c>
      <c r="O26" t="str">
        <f t="shared" ref="O26" si="27">B26&amp;"+"&amp;C26</f>
        <v>190+110</v>
      </c>
      <c r="Q26">
        <f t="shared" si="8"/>
        <v>380</v>
      </c>
      <c r="X26" t="str">
        <f>"["&amp;TEXT(W18,"0.00")&amp;"P(D=L)]="</f>
        <v>[0.79P(D=L)]=</v>
      </c>
      <c r="Y26" t="str">
        <f>TEXT(W13/T4-W13,"0.00")&amp;"P(D=H)"</f>
        <v>0.57P(D=H)</v>
      </c>
    </row>
    <row r="27" spans="1:25">
      <c r="B27">
        <f t="shared" si="7"/>
        <v>190</v>
      </c>
      <c r="C27">
        <f>C26</f>
        <v>110</v>
      </c>
      <c r="E27" t="s">
        <v>263</v>
      </c>
      <c r="F27">
        <f>IF((120+260)/2&gt;($B27+$C27),($B27+$C27),(120+260)/2)</f>
        <v>190</v>
      </c>
      <c r="G27">
        <f t="shared" si="0"/>
        <v>110</v>
      </c>
      <c r="H27">
        <f t="shared" si="1"/>
        <v>950</v>
      </c>
      <c r="I27">
        <f t="shared" si="2"/>
        <v>570</v>
      </c>
      <c r="J27">
        <f t="shared" si="3"/>
        <v>396</v>
      </c>
      <c r="K27">
        <f t="shared" si="4"/>
        <v>-110</v>
      </c>
      <c r="L27">
        <f t="shared" si="5"/>
        <v>40</v>
      </c>
      <c r="M27">
        <f t="shared" si="6"/>
        <v>54</v>
      </c>
      <c r="Q27">
        <f t="shared" si="8"/>
        <v>390</v>
      </c>
      <c r="X27" t="str">
        <f>"P(D=L)="</f>
        <v>P(D=L)=</v>
      </c>
      <c r="Y27" t="str">
        <f>TEXT((W13/T4-W13)/W18,"0.00")&amp;"P(D=H)"</f>
        <v>0.72P(D=H)</v>
      </c>
    </row>
    <row r="28" spans="1:25">
      <c r="A28">
        <f t="shared" ref="A28" si="28">A26+2</f>
        <v>25</v>
      </c>
      <c r="B28">
        <f t="shared" si="7"/>
        <v>190</v>
      </c>
      <c r="C28">
        <f>+C26+10</f>
        <v>120</v>
      </c>
      <c r="E28" t="s">
        <v>261</v>
      </c>
      <c r="F28">
        <f>IF((240+420)/2&gt;($B28+$C28),($B28+$C28),(240+420)/2)</f>
        <v>310</v>
      </c>
      <c r="G28">
        <f t="shared" si="0"/>
        <v>0</v>
      </c>
      <c r="H28">
        <f t="shared" si="1"/>
        <v>1550</v>
      </c>
      <c r="I28">
        <f t="shared" si="2"/>
        <v>570</v>
      </c>
      <c r="J28">
        <f t="shared" si="3"/>
        <v>432</v>
      </c>
      <c r="K28">
        <f t="shared" si="4"/>
        <v>0</v>
      </c>
      <c r="L28">
        <f t="shared" si="5"/>
        <v>40</v>
      </c>
      <c r="M28">
        <f t="shared" si="6"/>
        <v>508</v>
      </c>
      <c r="N28">
        <f>M28*$N$2+M29*(1-$N$2)</f>
        <v>220.00000000000003</v>
      </c>
      <c r="O28" t="str">
        <f t="shared" ref="O28" si="29">B28&amp;"+"&amp;C28</f>
        <v>190+120</v>
      </c>
      <c r="Q28">
        <f t="shared" si="8"/>
        <v>400</v>
      </c>
    </row>
    <row r="29" spans="1:25">
      <c r="B29">
        <f t="shared" si="7"/>
        <v>190</v>
      </c>
      <c r="C29">
        <f>C28</f>
        <v>120</v>
      </c>
      <c r="E29" t="s">
        <v>263</v>
      </c>
      <c r="F29">
        <f>IF((120+260)/2&gt;($B29+$C29),($B29+$C29),(120+260)/2)</f>
        <v>190</v>
      </c>
      <c r="G29">
        <f t="shared" si="0"/>
        <v>120</v>
      </c>
      <c r="H29">
        <f t="shared" si="1"/>
        <v>950</v>
      </c>
      <c r="I29">
        <f t="shared" si="2"/>
        <v>570</v>
      </c>
      <c r="J29">
        <f t="shared" si="3"/>
        <v>432</v>
      </c>
      <c r="K29">
        <f t="shared" si="4"/>
        <v>-120</v>
      </c>
      <c r="L29">
        <f t="shared" si="5"/>
        <v>40</v>
      </c>
      <c r="M29">
        <f t="shared" si="6"/>
        <v>28</v>
      </c>
      <c r="Q29">
        <f t="shared" si="8"/>
        <v>410</v>
      </c>
      <c r="X29" t="s">
        <v>288</v>
      </c>
      <c r="Y29">
        <v>1</v>
      </c>
    </row>
    <row r="30" spans="1:25">
      <c r="A30">
        <f t="shared" ref="A30" si="30">A28+2</f>
        <v>27</v>
      </c>
      <c r="B30">
        <f t="shared" si="7"/>
        <v>190</v>
      </c>
      <c r="C30">
        <f>+C28+10</f>
        <v>130</v>
      </c>
      <c r="E30" t="s">
        <v>261</v>
      </c>
      <c r="F30">
        <f>IF((240+420)/2&gt;($B30+$C30),($B30+$C30),(240+420)/2)</f>
        <v>320</v>
      </c>
      <c r="G30">
        <f t="shared" si="0"/>
        <v>0</v>
      </c>
      <c r="H30">
        <f t="shared" si="1"/>
        <v>1600</v>
      </c>
      <c r="I30">
        <f t="shared" si="2"/>
        <v>570</v>
      </c>
      <c r="J30">
        <f t="shared" si="3"/>
        <v>468</v>
      </c>
      <c r="K30">
        <f t="shared" si="4"/>
        <v>0</v>
      </c>
      <c r="L30">
        <f t="shared" si="5"/>
        <v>40</v>
      </c>
      <c r="M30">
        <f t="shared" si="6"/>
        <v>522</v>
      </c>
      <c r="N30">
        <f>M30*$N$2+M31*(1-$N$2)</f>
        <v>210</v>
      </c>
      <c r="O30" t="str">
        <f t="shared" ref="O30" si="31">B30&amp;"+"&amp;C30</f>
        <v>190+130</v>
      </c>
      <c r="Q30">
        <f t="shared" si="8"/>
        <v>420</v>
      </c>
      <c r="X30" t="str">
        <f>TEXT((W13/T4-W13)/W18+1,"0.00")&amp;"P(D=H)="</f>
        <v>1.72P(D=H)=</v>
      </c>
      <c r="Y30">
        <v>1</v>
      </c>
    </row>
    <row r="31" spans="1:25">
      <c r="B31">
        <f t="shared" si="7"/>
        <v>190</v>
      </c>
      <c r="C31">
        <f>C30</f>
        <v>130</v>
      </c>
      <c r="E31" t="s">
        <v>263</v>
      </c>
      <c r="F31">
        <f>IF((120+260)/2&gt;($B31+$C31),($B31+$C31),(120+260)/2)</f>
        <v>190</v>
      </c>
      <c r="G31">
        <f t="shared" si="0"/>
        <v>130</v>
      </c>
      <c r="H31">
        <f t="shared" si="1"/>
        <v>950</v>
      </c>
      <c r="I31">
        <f t="shared" si="2"/>
        <v>570</v>
      </c>
      <c r="J31">
        <f t="shared" si="3"/>
        <v>468</v>
      </c>
      <c r="K31">
        <f t="shared" si="4"/>
        <v>-130</v>
      </c>
      <c r="L31">
        <f t="shared" si="5"/>
        <v>40</v>
      </c>
      <c r="M31">
        <f t="shared" si="6"/>
        <v>2</v>
      </c>
      <c r="X31" t="s">
        <v>289</v>
      </c>
      <c r="Y31">
        <f>1/((W13/T4-W13)/W18+1)</f>
        <v>0.58000000000000007</v>
      </c>
    </row>
    <row r="32" spans="1:25">
      <c r="A32">
        <f t="shared" ref="A32" si="32">A30+2</f>
        <v>29</v>
      </c>
      <c r="B32">
        <f t="shared" si="7"/>
        <v>190</v>
      </c>
      <c r="C32">
        <f>+C30+10</f>
        <v>140</v>
      </c>
      <c r="E32" t="s">
        <v>261</v>
      </c>
      <c r="F32">
        <f>IF((240+420)/2&gt;($B32+$C32),($B32+$C32),(240+420)/2)</f>
        <v>330</v>
      </c>
      <c r="G32">
        <f t="shared" si="0"/>
        <v>0</v>
      </c>
      <c r="H32">
        <f t="shared" si="1"/>
        <v>1650</v>
      </c>
      <c r="I32">
        <f t="shared" si="2"/>
        <v>570</v>
      </c>
      <c r="J32">
        <f t="shared" si="3"/>
        <v>504</v>
      </c>
      <c r="K32">
        <f t="shared" si="4"/>
        <v>0</v>
      </c>
      <c r="L32">
        <f t="shared" si="5"/>
        <v>40</v>
      </c>
      <c r="M32">
        <f t="shared" si="6"/>
        <v>536</v>
      </c>
      <c r="N32">
        <f>M32*$N$2+M33*(1-$N$2)</f>
        <v>200</v>
      </c>
      <c r="O32" t="str">
        <f t="shared" ref="O32" si="33">B32&amp;"+"&amp;C32</f>
        <v>190+140</v>
      </c>
      <c r="X32" t="s">
        <v>290</v>
      </c>
      <c r="Y32">
        <f>1-Y31</f>
        <v>0.41999999999999993</v>
      </c>
    </row>
    <row r="33" spans="1:24">
      <c r="B33">
        <f t="shared" si="7"/>
        <v>190</v>
      </c>
      <c r="C33">
        <f>C32</f>
        <v>140</v>
      </c>
      <c r="E33" t="s">
        <v>263</v>
      </c>
      <c r="F33">
        <f>IF((120+260)/2&gt;($B33+$C33),($B33+$C33),(120+260)/2)</f>
        <v>190</v>
      </c>
      <c r="G33">
        <f t="shared" si="0"/>
        <v>140</v>
      </c>
      <c r="H33">
        <f t="shared" si="1"/>
        <v>950</v>
      </c>
      <c r="I33">
        <f t="shared" si="2"/>
        <v>570</v>
      </c>
      <c r="J33">
        <f t="shared" si="3"/>
        <v>504</v>
      </c>
      <c r="K33">
        <f t="shared" si="4"/>
        <v>-140</v>
      </c>
      <c r="L33">
        <f t="shared" si="5"/>
        <v>40</v>
      </c>
      <c r="M33">
        <f t="shared" si="6"/>
        <v>-24</v>
      </c>
    </row>
    <row r="34" spans="1:24">
      <c r="A34">
        <f t="shared" ref="A34" si="34">A32+2</f>
        <v>31</v>
      </c>
      <c r="B34">
        <f t="shared" si="7"/>
        <v>190</v>
      </c>
      <c r="C34">
        <f>+C32+10</f>
        <v>150</v>
      </c>
      <c r="E34" t="s">
        <v>261</v>
      </c>
      <c r="F34">
        <f>IF((240+420)/2&gt;($B34+$C34),($B34+$C34),(240+420)/2)</f>
        <v>330</v>
      </c>
      <c r="G34">
        <f t="shared" si="0"/>
        <v>10</v>
      </c>
      <c r="H34">
        <f t="shared" si="1"/>
        <v>1650</v>
      </c>
      <c r="I34">
        <f t="shared" si="2"/>
        <v>570</v>
      </c>
      <c r="J34">
        <f t="shared" si="3"/>
        <v>540</v>
      </c>
      <c r="K34">
        <f t="shared" si="4"/>
        <v>-10</v>
      </c>
      <c r="L34">
        <f t="shared" si="5"/>
        <v>40</v>
      </c>
      <c r="M34">
        <f t="shared" si="6"/>
        <v>510</v>
      </c>
      <c r="N34">
        <f>M34*$N$2+M35*(1-$N$2)</f>
        <v>174</v>
      </c>
      <c r="O34" t="str">
        <f t="shared" ref="O34" si="35">B34&amp;"+"&amp;C34</f>
        <v>190+150</v>
      </c>
      <c r="V34" s="89" t="s">
        <v>171</v>
      </c>
      <c r="W34" s="89"/>
      <c r="X34" s="90">
        <f>P3-'8'!K71</f>
        <v>189.80000000000007</v>
      </c>
    </row>
    <row r="35" spans="1:24">
      <c r="B35">
        <f t="shared" si="7"/>
        <v>190</v>
      </c>
      <c r="C35">
        <f>C34</f>
        <v>150</v>
      </c>
      <c r="E35" t="s">
        <v>263</v>
      </c>
      <c r="F35">
        <f>IF((120+260)/2&gt;($B35+$C35),($B35+$C35),(120+260)/2)</f>
        <v>190</v>
      </c>
      <c r="G35">
        <f t="shared" si="0"/>
        <v>150</v>
      </c>
      <c r="H35">
        <f t="shared" si="1"/>
        <v>950</v>
      </c>
      <c r="I35">
        <f t="shared" si="2"/>
        <v>570</v>
      </c>
      <c r="J35">
        <f t="shared" si="3"/>
        <v>540</v>
      </c>
      <c r="K35">
        <f t="shared" si="4"/>
        <v>-150</v>
      </c>
      <c r="L35">
        <f t="shared" si="5"/>
        <v>40</v>
      </c>
      <c r="M35">
        <f t="shared" si="6"/>
        <v>-50</v>
      </c>
    </row>
    <row r="36" spans="1:24">
      <c r="A36">
        <f t="shared" ref="A36" si="36">A34+2</f>
        <v>33</v>
      </c>
      <c r="B36">
        <f t="shared" si="7"/>
        <v>190</v>
      </c>
      <c r="C36">
        <f>+C34+10</f>
        <v>160</v>
      </c>
      <c r="E36" t="s">
        <v>261</v>
      </c>
      <c r="F36">
        <f>IF((240+420)/2&gt;($B36+$C36),($B36+$C36),(240+420)/2)</f>
        <v>330</v>
      </c>
      <c r="G36">
        <f t="shared" si="0"/>
        <v>20</v>
      </c>
      <c r="H36">
        <f t="shared" si="1"/>
        <v>1650</v>
      </c>
      <c r="I36">
        <f t="shared" si="2"/>
        <v>570</v>
      </c>
      <c r="J36">
        <f t="shared" si="3"/>
        <v>576</v>
      </c>
      <c r="K36">
        <f t="shared" si="4"/>
        <v>-20</v>
      </c>
      <c r="L36">
        <f t="shared" si="5"/>
        <v>40</v>
      </c>
      <c r="M36">
        <f t="shared" si="6"/>
        <v>484</v>
      </c>
      <c r="N36">
        <f>M36*$N$2+M37*(1-$N$2)</f>
        <v>148.00000000000003</v>
      </c>
      <c r="O36" t="str">
        <f t="shared" ref="O36" si="37">B36&amp;"+"&amp;C36</f>
        <v>190+160</v>
      </c>
    </row>
    <row r="37" spans="1:24">
      <c r="B37">
        <f t="shared" si="7"/>
        <v>190</v>
      </c>
      <c r="C37">
        <f>C36</f>
        <v>160</v>
      </c>
      <c r="E37" t="s">
        <v>263</v>
      </c>
      <c r="F37">
        <f>IF((120+260)/2&gt;($B37+$C37),($B37+$C37),(120+260)/2)</f>
        <v>190</v>
      </c>
      <c r="G37">
        <f t="shared" si="0"/>
        <v>160</v>
      </c>
      <c r="H37">
        <f t="shared" si="1"/>
        <v>950</v>
      </c>
      <c r="I37">
        <f t="shared" si="2"/>
        <v>570</v>
      </c>
      <c r="J37">
        <f t="shared" si="3"/>
        <v>576</v>
      </c>
      <c r="K37">
        <f t="shared" si="4"/>
        <v>-160</v>
      </c>
      <c r="L37">
        <f t="shared" si="5"/>
        <v>40</v>
      </c>
      <c r="M37">
        <f t="shared" si="6"/>
        <v>-76</v>
      </c>
    </row>
    <row r="38" spans="1:24">
      <c r="A38">
        <f t="shared" ref="A38" si="38">A36+2</f>
        <v>35</v>
      </c>
      <c r="B38">
        <f t="shared" si="7"/>
        <v>190</v>
      </c>
      <c r="C38">
        <f>+C36+10</f>
        <v>170</v>
      </c>
      <c r="E38" t="s">
        <v>261</v>
      </c>
      <c r="F38">
        <f>IF((240+420)/2&gt;($B38+$C38),($B38+$C38),(240+420)/2)</f>
        <v>330</v>
      </c>
      <c r="G38">
        <f t="shared" si="0"/>
        <v>30</v>
      </c>
      <c r="H38">
        <f t="shared" si="1"/>
        <v>1650</v>
      </c>
      <c r="I38">
        <f t="shared" si="2"/>
        <v>570</v>
      </c>
      <c r="J38">
        <f t="shared" si="3"/>
        <v>612</v>
      </c>
      <c r="K38">
        <f t="shared" si="4"/>
        <v>-30</v>
      </c>
      <c r="L38">
        <f t="shared" si="5"/>
        <v>40</v>
      </c>
      <c r="M38">
        <f t="shared" si="6"/>
        <v>458</v>
      </c>
      <c r="N38">
        <f>M38*$N$2+M39*(1-$N$2)</f>
        <v>122.00000000000003</v>
      </c>
      <c r="O38" t="str">
        <f t="shared" ref="O38" si="39">B38&amp;"+"&amp;C38</f>
        <v>190+170</v>
      </c>
    </row>
    <row r="39" spans="1:24">
      <c r="B39">
        <f t="shared" si="7"/>
        <v>190</v>
      </c>
      <c r="C39">
        <f>C38</f>
        <v>170</v>
      </c>
      <c r="E39" t="s">
        <v>263</v>
      </c>
      <c r="F39">
        <f>IF((120+260)/2&gt;($B39+$C39),($B39+$C39),(120+260)/2)</f>
        <v>190</v>
      </c>
      <c r="G39">
        <f t="shared" si="0"/>
        <v>170</v>
      </c>
      <c r="H39">
        <f t="shared" si="1"/>
        <v>950</v>
      </c>
      <c r="I39">
        <f t="shared" si="2"/>
        <v>570</v>
      </c>
      <c r="J39">
        <f t="shared" si="3"/>
        <v>612</v>
      </c>
      <c r="K39">
        <f t="shared" si="4"/>
        <v>-170</v>
      </c>
      <c r="L39">
        <f t="shared" si="5"/>
        <v>40</v>
      </c>
      <c r="M39">
        <f t="shared" si="6"/>
        <v>-102</v>
      </c>
    </row>
    <row r="40" spans="1:24">
      <c r="A40">
        <f t="shared" ref="A40" si="40">A38+2</f>
        <v>37</v>
      </c>
      <c r="B40">
        <f t="shared" si="7"/>
        <v>190</v>
      </c>
      <c r="C40">
        <f>+C38+10</f>
        <v>180</v>
      </c>
      <c r="E40" t="s">
        <v>261</v>
      </c>
      <c r="F40">
        <f>IF((240+420)/2&gt;($B40+$C40),($B40+$C40),(240+420)/2)</f>
        <v>330</v>
      </c>
      <c r="G40">
        <f t="shared" si="0"/>
        <v>40</v>
      </c>
      <c r="H40">
        <f t="shared" si="1"/>
        <v>1650</v>
      </c>
      <c r="I40">
        <f t="shared" si="2"/>
        <v>570</v>
      </c>
      <c r="J40">
        <f t="shared" si="3"/>
        <v>648</v>
      </c>
      <c r="K40">
        <f t="shared" si="4"/>
        <v>-40</v>
      </c>
      <c r="L40">
        <f t="shared" si="5"/>
        <v>40</v>
      </c>
      <c r="M40">
        <f t="shared" si="6"/>
        <v>432</v>
      </c>
      <c r="N40">
        <f>M40*$N$2+M41*(1-$N$2)</f>
        <v>96.000000000000014</v>
      </c>
      <c r="O40" t="str">
        <f t="shared" ref="O40" si="41">B40&amp;"+"&amp;C40</f>
        <v>190+180</v>
      </c>
    </row>
    <row r="41" spans="1:24">
      <c r="B41">
        <f t="shared" si="7"/>
        <v>190</v>
      </c>
      <c r="C41">
        <f>C40</f>
        <v>180</v>
      </c>
      <c r="E41" t="s">
        <v>263</v>
      </c>
      <c r="F41">
        <f>IF((120+260)/2&gt;($B41+$C41),($B41+$C41),(120+260)/2)</f>
        <v>190</v>
      </c>
      <c r="G41">
        <f t="shared" si="0"/>
        <v>180</v>
      </c>
      <c r="H41">
        <f t="shared" si="1"/>
        <v>950</v>
      </c>
      <c r="I41">
        <f t="shared" si="2"/>
        <v>570</v>
      </c>
      <c r="J41">
        <f t="shared" si="3"/>
        <v>648</v>
      </c>
      <c r="K41">
        <f t="shared" si="4"/>
        <v>-180</v>
      </c>
      <c r="L41">
        <f t="shared" si="5"/>
        <v>40</v>
      </c>
      <c r="M41">
        <f t="shared" si="6"/>
        <v>-128</v>
      </c>
    </row>
    <row r="42" spans="1:24">
      <c r="A42">
        <f t="shared" ref="A42" si="42">A40+2</f>
        <v>39</v>
      </c>
      <c r="B42">
        <f t="shared" si="7"/>
        <v>190</v>
      </c>
      <c r="C42">
        <f>+C40+10</f>
        <v>190</v>
      </c>
      <c r="E42" t="s">
        <v>261</v>
      </c>
      <c r="F42">
        <f>IF((240+420)/2&gt;($B42+$C42),($B42+$C42),(240+420)/2)</f>
        <v>330</v>
      </c>
      <c r="G42">
        <f t="shared" si="0"/>
        <v>50</v>
      </c>
      <c r="H42">
        <f t="shared" si="1"/>
        <v>1650</v>
      </c>
      <c r="I42">
        <f t="shared" si="2"/>
        <v>570</v>
      </c>
      <c r="J42">
        <f t="shared" si="3"/>
        <v>684</v>
      </c>
      <c r="K42">
        <f t="shared" si="4"/>
        <v>-50</v>
      </c>
      <c r="L42">
        <f t="shared" si="5"/>
        <v>40</v>
      </c>
      <c r="M42">
        <f t="shared" si="6"/>
        <v>406</v>
      </c>
      <c r="N42">
        <f>M42*$N$2+M43*(1-$N$2)</f>
        <v>70.000000000000014</v>
      </c>
      <c r="O42" t="str">
        <f t="shared" ref="O42" si="43">B42&amp;"+"&amp;C42</f>
        <v>190+190</v>
      </c>
    </row>
    <row r="43" spans="1:24">
      <c r="B43">
        <f t="shared" si="7"/>
        <v>190</v>
      </c>
      <c r="C43">
        <f>C42</f>
        <v>190</v>
      </c>
      <c r="E43" t="s">
        <v>263</v>
      </c>
      <c r="F43">
        <f>IF((120+260)/2&gt;($B43+$C43),($B43+$C43),(120+260)/2)</f>
        <v>190</v>
      </c>
      <c r="G43">
        <f t="shared" si="0"/>
        <v>190</v>
      </c>
      <c r="H43">
        <f t="shared" si="1"/>
        <v>950</v>
      </c>
      <c r="I43">
        <f t="shared" si="2"/>
        <v>570</v>
      </c>
      <c r="J43">
        <f t="shared" si="3"/>
        <v>684</v>
      </c>
      <c r="K43">
        <f t="shared" si="4"/>
        <v>-190</v>
      </c>
      <c r="L43">
        <f t="shared" si="5"/>
        <v>40</v>
      </c>
      <c r="M43">
        <f t="shared" si="6"/>
        <v>-154</v>
      </c>
    </row>
    <row r="44" spans="1:24">
      <c r="A44">
        <f t="shared" ref="A44" si="44">A42+2</f>
        <v>41</v>
      </c>
      <c r="B44">
        <f t="shared" si="7"/>
        <v>190</v>
      </c>
      <c r="C44">
        <f>+C42+10</f>
        <v>200</v>
      </c>
      <c r="E44" t="s">
        <v>261</v>
      </c>
      <c r="F44">
        <f>IF((240+420)/2&gt;($B44+$C44),($B44+$C44),(240+420)/2)</f>
        <v>330</v>
      </c>
      <c r="G44">
        <f t="shared" si="0"/>
        <v>60</v>
      </c>
      <c r="H44">
        <f t="shared" si="1"/>
        <v>1650</v>
      </c>
      <c r="I44">
        <f t="shared" si="2"/>
        <v>570</v>
      </c>
      <c r="J44">
        <f t="shared" si="3"/>
        <v>720</v>
      </c>
      <c r="K44">
        <f t="shared" si="4"/>
        <v>-60</v>
      </c>
      <c r="L44">
        <f t="shared" si="5"/>
        <v>40</v>
      </c>
      <c r="M44">
        <f t="shared" si="6"/>
        <v>380</v>
      </c>
      <c r="N44">
        <f>M44*$N$2+M45*(1-$N$2)</f>
        <v>44</v>
      </c>
      <c r="O44" t="str">
        <f t="shared" ref="O44" si="45">B44&amp;"+"&amp;C44</f>
        <v>190+200</v>
      </c>
    </row>
    <row r="45" spans="1:24">
      <c r="B45">
        <f t="shared" si="7"/>
        <v>190</v>
      </c>
      <c r="C45">
        <f>C44</f>
        <v>200</v>
      </c>
      <c r="E45" t="s">
        <v>263</v>
      </c>
      <c r="F45">
        <f>IF((120+260)/2&gt;($B45+$C45),($B45+$C45),(120+260)/2)</f>
        <v>190</v>
      </c>
      <c r="G45">
        <f t="shared" si="0"/>
        <v>200</v>
      </c>
      <c r="H45">
        <f t="shared" si="1"/>
        <v>950</v>
      </c>
      <c r="I45">
        <f t="shared" si="2"/>
        <v>570</v>
      </c>
      <c r="J45">
        <f t="shared" si="3"/>
        <v>720</v>
      </c>
      <c r="K45">
        <f t="shared" si="4"/>
        <v>-200</v>
      </c>
      <c r="L45">
        <f t="shared" si="5"/>
        <v>40</v>
      </c>
      <c r="M45">
        <f t="shared" si="6"/>
        <v>-180</v>
      </c>
    </row>
    <row r="46" spans="1:24">
      <c r="A46">
        <f t="shared" ref="A46" si="46">A44+2</f>
        <v>43</v>
      </c>
      <c r="B46">
        <f t="shared" si="7"/>
        <v>190</v>
      </c>
      <c r="C46">
        <f>+C44+10</f>
        <v>210</v>
      </c>
      <c r="E46" t="s">
        <v>261</v>
      </c>
      <c r="F46">
        <f>IF((240+420)/2&gt;($B46+$C46),($B46+$C46),(240+420)/2)</f>
        <v>330</v>
      </c>
      <c r="G46">
        <f t="shared" si="0"/>
        <v>70</v>
      </c>
      <c r="H46">
        <f t="shared" si="1"/>
        <v>1650</v>
      </c>
      <c r="I46">
        <f t="shared" si="2"/>
        <v>570</v>
      </c>
      <c r="J46">
        <f t="shared" si="3"/>
        <v>756</v>
      </c>
      <c r="K46">
        <f t="shared" si="4"/>
        <v>-70</v>
      </c>
      <c r="L46">
        <f t="shared" si="5"/>
        <v>40</v>
      </c>
      <c r="M46">
        <f t="shared" si="6"/>
        <v>354</v>
      </c>
      <c r="N46">
        <f>M46*$N$2+M47*(1-$N$2)</f>
        <v>18</v>
      </c>
      <c r="O46" t="str">
        <f t="shared" ref="O46" si="47">B46&amp;"+"&amp;C46</f>
        <v>190+210</v>
      </c>
    </row>
    <row r="47" spans="1:24">
      <c r="B47">
        <f t="shared" si="7"/>
        <v>190</v>
      </c>
      <c r="C47">
        <f>C46</f>
        <v>210</v>
      </c>
      <c r="E47" t="s">
        <v>263</v>
      </c>
      <c r="F47">
        <f>IF((120+260)/2&gt;($B47+$C47),($B47+$C47),(120+260)/2)</f>
        <v>190</v>
      </c>
      <c r="G47">
        <f t="shared" si="0"/>
        <v>210</v>
      </c>
      <c r="H47">
        <f t="shared" si="1"/>
        <v>950</v>
      </c>
      <c r="I47">
        <f t="shared" si="2"/>
        <v>570</v>
      </c>
      <c r="J47">
        <f t="shared" si="3"/>
        <v>756</v>
      </c>
      <c r="K47">
        <f t="shared" si="4"/>
        <v>-210</v>
      </c>
      <c r="L47">
        <f t="shared" si="5"/>
        <v>40</v>
      </c>
      <c r="M47">
        <f t="shared" si="6"/>
        <v>-206</v>
      </c>
    </row>
    <row r="48" spans="1:24">
      <c r="A48">
        <f t="shared" ref="A48" si="48">A46+2</f>
        <v>45</v>
      </c>
      <c r="B48">
        <f t="shared" si="7"/>
        <v>190</v>
      </c>
      <c r="C48">
        <f>+C46+10</f>
        <v>220</v>
      </c>
      <c r="E48" t="s">
        <v>261</v>
      </c>
      <c r="F48">
        <f>IF((240+420)/2&gt;($B48+$C48),($B48+$C48),(240+420)/2)</f>
        <v>330</v>
      </c>
      <c r="G48">
        <f t="shared" si="0"/>
        <v>80</v>
      </c>
      <c r="H48">
        <f t="shared" si="1"/>
        <v>1650</v>
      </c>
      <c r="I48">
        <f t="shared" si="2"/>
        <v>570</v>
      </c>
      <c r="J48">
        <f t="shared" si="3"/>
        <v>792</v>
      </c>
      <c r="K48">
        <f t="shared" si="4"/>
        <v>-80</v>
      </c>
      <c r="L48">
        <f t="shared" si="5"/>
        <v>40</v>
      </c>
      <c r="M48">
        <f t="shared" si="6"/>
        <v>328</v>
      </c>
      <c r="N48">
        <f>M48*$N$2+M49*(1-$N$2)</f>
        <v>-7.9999999999999716</v>
      </c>
      <c r="O48" t="str">
        <f t="shared" ref="O48" si="49">B48&amp;"+"&amp;C48</f>
        <v>190+220</v>
      </c>
    </row>
    <row r="49" spans="1:15">
      <c r="B49">
        <f t="shared" si="7"/>
        <v>190</v>
      </c>
      <c r="C49">
        <f>C48</f>
        <v>220</v>
      </c>
      <c r="E49" t="s">
        <v>263</v>
      </c>
      <c r="F49">
        <f>IF((120+260)/2&gt;($B49+$C49),($B49+$C49),(120+260)/2)</f>
        <v>190</v>
      </c>
      <c r="G49">
        <f t="shared" si="0"/>
        <v>220</v>
      </c>
      <c r="H49">
        <f t="shared" si="1"/>
        <v>950</v>
      </c>
      <c r="I49">
        <f t="shared" si="2"/>
        <v>570</v>
      </c>
      <c r="J49">
        <f t="shared" si="3"/>
        <v>792</v>
      </c>
      <c r="K49">
        <f t="shared" si="4"/>
        <v>-220</v>
      </c>
      <c r="L49">
        <f t="shared" si="5"/>
        <v>40</v>
      </c>
      <c r="M49">
        <f t="shared" si="6"/>
        <v>-232</v>
      </c>
    </row>
    <row r="50" spans="1:15">
      <c r="A50">
        <f t="shared" ref="A50" si="50">A48+2</f>
        <v>47</v>
      </c>
      <c r="B50">
        <f t="shared" si="7"/>
        <v>190</v>
      </c>
      <c r="C50">
        <f>+C48+10</f>
        <v>230</v>
      </c>
      <c r="E50" t="s">
        <v>261</v>
      </c>
      <c r="F50">
        <f>IF((240+420)/2&gt;($B50+$C50),($B50+$C50),(240+420)/2)</f>
        <v>330</v>
      </c>
      <c r="G50">
        <f t="shared" si="0"/>
        <v>90</v>
      </c>
      <c r="H50">
        <f t="shared" si="1"/>
        <v>1650</v>
      </c>
      <c r="I50">
        <f t="shared" si="2"/>
        <v>570</v>
      </c>
      <c r="J50">
        <f t="shared" si="3"/>
        <v>828</v>
      </c>
      <c r="K50">
        <f t="shared" si="4"/>
        <v>-90</v>
      </c>
      <c r="L50">
        <f t="shared" si="5"/>
        <v>40</v>
      </c>
      <c r="M50">
        <f t="shared" si="6"/>
        <v>302</v>
      </c>
      <c r="N50">
        <f>M50*$N$2+M51*(1-$N$2)</f>
        <v>-33.999999999999972</v>
      </c>
      <c r="O50" t="str">
        <f t="shared" ref="O50" si="51">B50&amp;"+"&amp;C50</f>
        <v>190+230</v>
      </c>
    </row>
    <row r="51" spans="1:15">
      <c r="B51">
        <f t="shared" si="7"/>
        <v>190</v>
      </c>
      <c r="C51">
        <f>C50</f>
        <v>230</v>
      </c>
      <c r="E51" t="s">
        <v>263</v>
      </c>
      <c r="F51">
        <f>IF((120+260)/2&gt;($B51+$C51),($B51+$C51),(120+260)/2)</f>
        <v>190</v>
      </c>
      <c r="G51">
        <f t="shared" si="0"/>
        <v>230</v>
      </c>
      <c r="H51">
        <f t="shared" si="1"/>
        <v>950</v>
      </c>
      <c r="I51">
        <f t="shared" si="2"/>
        <v>570</v>
      </c>
      <c r="J51">
        <f t="shared" si="3"/>
        <v>828</v>
      </c>
      <c r="K51">
        <f t="shared" si="4"/>
        <v>-230</v>
      </c>
      <c r="L51">
        <f t="shared" si="5"/>
        <v>40</v>
      </c>
      <c r="M51">
        <f t="shared" si="6"/>
        <v>-258</v>
      </c>
    </row>
    <row r="52" spans="1:15">
      <c r="A52">
        <f t="shared" ref="A52" si="52">A50+2</f>
        <v>49</v>
      </c>
      <c r="B52">
        <f t="shared" si="7"/>
        <v>190</v>
      </c>
      <c r="C52">
        <f>+C50+10</f>
        <v>240</v>
      </c>
      <c r="E52" t="s">
        <v>261</v>
      </c>
      <c r="F52">
        <f>IF((240+420)/2&gt;($B52+$C52),($B52+$C52),(240+420)/2)</f>
        <v>330</v>
      </c>
      <c r="G52">
        <f t="shared" si="0"/>
        <v>100</v>
      </c>
      <c r="H52">
        <f t="shared" si="1"/>
        <v>1650</v>
      </c>
      <c r="I52">
        <f t="shared" si="2"/>
        <v>570</v>
      </c>
      <c r="J52">
        <f t="shared" si="3"/>
        <v>864</v>
      </c>
      <c r="K52">
        <f t="shared" si="4"/>
        <v>-100</v>
      </c>
      <c r="L52">
        <f t="shared" si="5"/>
        <v>40</v>
      </c>
      <c r="M52">
        <f t="shared" si="6"/>
        <v>276</v>
      </c>
      <c r="N52">
        <f>M52*$N$2+M53*(1-$N$2)</f>
        <v>-60</v>
      </c>
      <c r="O52" t="str">
        <f t="shared" ref="O52" si="53">B52&amp;"+"&amp;C52</f>
        <v>190+240</v>
      </c>
    </row>
    <row r="53" spans="1:15">
      <c r="B53">
        <f t="shared" si="7"/>
        <v>190</v>
      </c>
      <c r="C53">
        <f>C52</f>
        <v>240</v>
      </c>
      <c r="E53" t="s">
        <v>263</v>
      </c>
      <c r="F53">
        <f>IF((120+260)/2&gt;($B53+$C53),($B53+$C53),(120+260)/2)</f>
        <v>190</v>
      </c>
      <c r="G53">
        <f t="shared" si="0"/>
        <v>240</v>
      </c>
      <c r="H53">
        <f t="shared" si="1"/>
        <v>950</v>
      </c>
      <c r="I53">
        <f t="shared" si="2"/>
        <v>570</v>
      </c>
      <c r="J53">
        <f t="shared" si="3"/>
        <v>864</v>
      </c>
      <c r="K53">
        <f t="shared" si="4"/>
        <v>-240</v>
      </c>
      <c r="L53">
        <f t="shared" si="5"/>
        <v>40</v>
      </c>
      <c r="M53">
        <f t="shared" si="6"/>
        <v>-284</v>
      </c>
    </row>
    <row r="54" spans="1:15">
      <c r="A54">
        <f t="shared" ref="A54" si="54">A52+2</f>
        <v>51</v>
      </c>
      <c r="B54">
        <f t="shared" si="7"/>
        <v>190</v>
      </c>
      <c r="C54">
        <f>+C52+10</f>
        <v>250</v>
      </c>
      <c r="E54" t="s">
        <v>261</v>
      </c>
      <c r="F54">
        <f>IF((240+420)/2&gt;($B54+$C54),($B54+$C54),(240+420)/2)</f>
        <v>330</v>
      </c>
      <c r="G54">
        <f t="shared" si="0"/>
        <v>110</v>
      </c>
      <c r="H54">
        <f t="shared" si="1"/>
        <v>1650</v>
      </c>
      <c r="I54">
        <f t="shared" si="2"/>
        <v>570</v>
      </c>
      <c r="J54">
        <f t="shared" si="3"/>
        <v>900</v>
      </c>
      <c r="K54">
        <f t="shared" si="4"/>
        <v>-110</v>
      </c>
      <c r="L54">
        <f t="shared" si="5"/>
        <v>40</v>
      </c>
      <c r="M54">
        <f t="shared" si="6"/>
        <v>250</v>
      </c>
      <c r="N54">
        <f>M54*$N$2+M55*(1-$N$2)</f>
        <v>-86</v>
      </c>
      <c r="O54" t="str">
        <f t="shared" ref="O54" si="55">B54&amp;"+"&amp;C54</f>
        <v>190+250</v>
      </c>
    </row>
    <row r="55" spans="1:15">
      <c r="B55">
        <f t="shared" si="7"/>
        <v>190</v>
      </c>
      <c r="C55">
        <f>C54</f>
        <v>250</v>
      </c>
      <c r="E55" t="s">
        <v>263</v>
      </c>
      <c r="F55">
        <f>IF((120+260)/2&gt;($B55+$C55),($B55+$C55),(120+260)/2)</f>
        <v>190</v>
      </c>
      <c r="G55">
        <f t="shared" si="0"/>
        <v>250</v>
      </c>
      <c r="H55">
        <f t="shared" si="1"/>
        <v>950</v>
      </c>
      <c r="I55">
        <f t="shared" si="2"/>
        <v>570</v>
      </c>
      <c r="J55">
        <f t="shared" si="3"/>
        <v>900</v>
      </c>
      <c r="K55">
        <f t="shared" si="4"/>
        <v>-250</v>
      </c>
      <c r="L55">
        <f t="shared" si="5"/>
        <v>40</v>
      </c>
      <c r="M55">
        <f t="shared" si="6"/>
        <v>-310</v>
      </c>
    </row>
  </sheetData>
  <sheetProtection sheet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1and2</vt:lpstr>
      <vt:lpstr>3</vt:lpstr>
      <vt:lpstr>4</vt:lpstr>
      <vt:lpstr>5</vt:lpstr>
      <vt:lpstr>Sheet2</vt:lpstr>
      <vt:lpstr>6</vt:lpstr>
      <vt:lpstr>7</vt:lpstr>
      <vt:lpstr>8</vt:lpstr>
      <vt:lpstr>iterations 8</vt:lpstr>
      <vt:lpstr>iterations 8 (SH)</vt:lpstr>
      <vt:lpstr>iterations 8 (SL)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Jose, Dominic</dc:creator>
  <cp:lastModifiedBy>Uday, Adarsh</cp:lastModifiedBy>
  <dcterms:created xsi:type="dcterms:W3CDTF">2025-11-22T18:14:03Z</dcterms:created>
  <dcterms:modified xsi:type="dcterms:W3CDTF">2025-12-07T23:07:54Z</dcterms:modified>
</cp:coreProperties>
</file>