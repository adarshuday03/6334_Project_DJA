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arsh GATech Files\6334 Chen OR2\Project\6334_Project_DJA\dom_sol\"/>
    </mc:Choice>
  </mc:AlternateContent>
  <xr:revisionPtr revIDLastSave="0" documentId="13_ncr:1_{739DFF42-D212-4B95-BA31-9A68DDD8350E}" xr6:coauthVersionLast="47" xr6:coauthVersionMax="47" xr10:uidLastSave="{00000000-0000-0000-0000-000000000000}"/>
  <bookViews>
    <workbookView xWindow="-120" yWindow="-120" windowWidth="29040" windowHeight="15720" activeTab="3" xr2:uid="{4D8A6D22-1F7C-634E-A276-4032A734E7D0}"/>
  </bookViews>
  <sheets>
    <sheet name="1and2" sheetId="1" r:id="rId1"/>
    <sheet name="3" sheetId="2" r:id="rId2"/>
    <sheet name="4" sheetId="3" r:id="rId3"/>
    <sheet name="5" sheetId="4" r:id="rId4"/>
    <sheet name="6" sheetId="5" r:id="rId5"/>
    <sheet name="7" sheetId="6" r:id="rId6"/>
    <sheet name="8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5" l="1"/>
  <c r="M24" i="5"/>
  <c r="E22" i="5"/>
  <c r="E19" i="5"/>
  <c r="E21" i="5" s="1"/>
  <c r="M18" i="5"/>
  <c r="R506" i="4"/>
  <c r="N33" i="3"/>
  <c r="N27" i="3"/>
  <c r="J24" i="1"/>
  <c r="N31" i="3"/>
  <c r="N29" i="3"/>
  <c r="N26" i="3"/>
  <c r="J27" i="3" s="1"/>
  <c r="N30" i="3"/>
  <c r="G31" i="3"/>
  <c r="J41" i="1"/>
  <c r="G27" i="3"/>
  <c r="C27" i="3"/>
  <c r="G28" i="3" s="1"/>
  <c r="G30" i="3"/>
  <c r="G26" i="3"/>
  <c r="J47" i="1"/>
  <c r="J45" i="1"/>
  <c r="J28" i="1"/>
  <c r="K42" i="1"/>
  <c r="F41" i="1"/>
  <c r="K40" i="1"/>
  <c r="J44" i="1"/>
  <c r="J27" i="1"/>
  <c r="J75" i="7"/>
  <c r="H75" i="7"/>
  <c r="F75" i="7"/>
  <c r="F73" i="7"/>
  <c r="P60" i="7"/>
  <c r="Q60" i="7" s="1"/>
  <c r="H79" i="7"/>
  <c r="F72" i="7"/>
  <c r="F71" i="7"/>
  <c r="P54" i="7"/>
  <c r="I54" i="7"/>
  <c r="H68" i="7"/>
  <c r="P55" i="7"/>
  <c r="Q55" i="7" s="1"/>
  <c r="P63" i="7"/>
  <c r="Q63" i="7" s="1"/>
  <c r="P62" i="7"/>
  <c r="Q62" i="7" s="1"/>
  <c r="P61" i="7"/>
  <c r="Q61" i="7" s="1"/>
  <c r="P59" i="7"/>
  <c r="Q59" i="7" s="1"/>
  <c r="P58" i="7"/>
  <c r="Q58" i="7" s="1"/>
  <c r="I63" i="7"/>
  <c r="J63" i="7" s="1"/>
  <c r="I62" i="7"/>
  <c r="J62" i="7" s="1"/>
  <c r="I61" i="7"/>
  <c r="J61" i="7" s="1"/>
  <c r="I59" i="7"/>
  <c r="J59" i="7" s="1"/>
  <c r="P57" i="7"/>
  <c r="Q57" i="7" s="1"/>
  <c r="P56" i="7"/>
  <c r="Q56" i="7" s="1"/>
  <c r="I58" i="7"/>
  <c r="J58" i="7" s="1"/>
  <c r="I55" i="7"/>
  <c r="J55" i="7" s="1"/>
  <c r="G43" i="7"/>
  <c r="G44" i="7"/>
  <c r="G38" i="7"/>
  <c r="G37" i="7"/>
  <c r="G30" i="7"/>
  <c r="G29" i="7"/>
  <c r="G24" i="7"/>
  <c r="G23" i="7"/>
  <c r="G25" i="7" s="1"/>
  <c r="G26" i="7" s="1"/>
  <c r="W6" i="6"/>
  <c r="K23" i="1"/>
  <c r="D4" i="1"/>
  <c r="U10" i="6"/>
  <c r="V10" i="6"/>
  <c r="S10" i="6"/>
  <c r="W10" i="6"/>
  <c r="W8" i="6"/>
  <c r="M10" i="6"/>
  <c r="M8" i="6"/>
  <c r="M6" i="6"/>
  <c r="V8" i="6"/>
  <c r="V6" i="6"/>
  <c r="U8" i="6"/>
  <c r="U6" i="6"/>
  <c r="T10" i="6"/>
  <c r="S8" i="6"/>
  <c r="T8" i="6" s="1"/>
  <c r="M21" i="6"/>
  <c r="M31" i="6" s="1"/>
  <c r="M19" i="6"/>
  <c r="D19" i="1"/>
  <c r="G21" i="6"/>
  <c r="G30" i="6" s="1"/>
  <c r="G19" i="6"/>
  <c r="S6" i="6"/>
  <c r="T6" i="6" s="1"/>
  <c r="E26" i="5"/>
  <c r="H24" i="5"/>
  <c r="E27" i="5" s="1"/>
  <c r="E20" i="5"/>
  <c r="H18" i="5"/>
  <c r="N28" i="3" l="1"/>
  <c r="G29" i="3"/>
  <c r="G33" i="3"/>
  <c r="F76" i="7"/>
  <c r="F77" i="7"/>
  <c r="H78" i="7"/>
  <c r="H77" i="7"/>
  <c r="J77" i="7" s="1"/>
  <c r="H76" i="7"/>
  <c r="F78" i="7"/>
  <c r="J73" i="7"/>
  <c r="H74" i="7"/>
  <c r="F74" i="7"/>
  <c r="H73" i="7"/>
  <c r="H71" i="7"/>
  <c r="J71" i="7" s="1"/>
  <c r="H72" i="7"/>
  <c r="J72" i="7" s="1"/>
  <c r="G31" i="7"/>
  <c r="G32" i="7" s="1"/>
  <c r="J54" i="7"/>
  <c r="F69" i="7" s="1"/>
  <c r="H70" i="7"/>
  <c r="F70" i="7"/>
  <c r="Q54" i="7"/>
  <c r="H69" i="7" s="1"/>
  <c r="G45" i="7"/>
  <c r="G46" i="7" s="1"/>
  <c r="G39" i="7"/>
  <c r="G40" i="7" s="1"/>
  <c r="M30" i="6"/>
  <c r="M32" i="6" s="1"/>
  <c r="L34" i="6" s="1"/>
  <c r="E10" i="6" s="1"/>
  <c r="G31" i="6"/>
  <c r="G32" i="6" s="1"/>
  <c r="F34" i="6" s="1"/>
  <c r="E8" i="6" s="1"/>
  <c r="E28" i="5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6" i="4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56" i="4" s="1"/>
  <c r="I257" i="4" s="1"/>
  <c r="I258" i="4" s="1"/>
  <c r="I259" i="4" s="1"/>
  <c r="I260" i="4" s="1"/>
  <c r="I261" i="4" s="1"/>
  <c r="I262" i="4" s="1"/>
  <c r="I263" i="4" s="1"/>
  <c r="I264" i="4" s="1"/>
  <c r="I265" i="4" s="1"/>
  <c r="I266" i="4" s="1"/>
  <c r="I267" i="4" s="1"/>
  <c r="I268" i="4" s="1"/>
  <c r="I269" i="4" s="1"/>
  <c r="I270" i="4" s="1"/>
  <c r="I271" i="4" s="1"/>
  <c r="I272" i="4" s="1"/>
  <c r="I273" i="4" s="1"/>
  <c r="I274" i="4" s="1"/>
  <c r="I275" i="4" s="1"/>
  <c r="I276" i="4" s="1"/>
  <c r="I277" i="4" s="1"/>
  <c r="I278" i="4" s="1"/>
  <c r="I279" i="4" s="1"/>
  <c r="I280" i="4" s="1"/>
  <c r="I281" i="4" s="1"/>
  <c r="I282" i="4" s="1"/>
  <c r="I283" i="4" s="1"/>
  <c r="I284" i="4" s="1"/>
  <c r="I285" i="4" s="1"/>
  <c r="I286" i="4" s="1"/>
  <c r="I287" i="4" s="1"/>
  <c r="I288" i="4" s="1"/>
  <c r="I289" i="4" s="1"/>
  <c r="I290" i="4" s="1"/>
  <c r="I291" i="4" s="1"/>
  <c r="I292" i="4" s="1"/>
  <c r="I293" i="4" s="1"/>
  <c r="I294" i="4" s="1"/>
  <c r="I295" i="4" s="1"/>
  <c r="I296" i="4" s="1"/>
  <c r="I297" i="4" s="1"/>
  <c r="I298" i="4" s="1"/>
  <c r="I299" i="4" s="1"/>
  <c r="I300" i="4" s="1"/>
  <c r="I301" i="4" s="1"/>
  <c r="I302" i="4" s="1"/>
  <c r="I303" i="4" s="1"/>
  <c r="I304" i="4" s="1"/>
  <c r="I305" i="4" s="1"/>
  <c r="I306" i="4" s="1"/>
  <c r="I307" i="4" s="1"/>
  <c r="I308" i="4" s="1"/>
  <c r="I309" i="4" s="1"/>
  <c r="I310" i="4" s="1"/>
  <c r="I311" i="4" s="1"/>
  <c r="I312" i="4" s="1"/>
  <c r="I313" i="4" s="1"/>
  <c r="I314" i="4" s="1"/>
  <c r="I315" i="4" s="1"/>
  <c r="I316" i="4" s="1"/>
  <c r="I317" i="4" s="1"/>
  <c r="I318" i="4" s="1"/>
  <c r="I319" i="4" s="1"/>
  <c r="I320" i="4" s="1"/>
  <c r="I321" i="4" s="1"/>
  <c r="I322" i="4" s="1"/>
  <c r="I323" i="4" s="1"/>
  <c r="I324" i="4" s="1"/>
  <c r="I325" i="4" s="1"/>
  <c r="I326" i="4" s="1"/>
  <c r="I327" i="4" s="1"/>
  <c r="I328" i="4" s="1"/>
  <c r="I329" i="4" s="1"/>
  <c r="I330" i="4" s="1"/>
  <c r="I331" i="4" s="1"/>
  <c r="I332" i="4" s="1"/>
  <c r="I333" i="4" s="1"/>
  <c r="I334" i="4" s="1"/>
  <c r="I335" i="4" s="1"/>
  <c r="I336" i="4" s="1"/>
  <c r="I337" i="4" s="1"/>
  <c r="I338" i="4" s="1"/>
  <c r="I339" i="4" s="1"/>
  <c r="I340" i="4" s="1"/>
  <c r="I341" i="4" s="1"/>
  <c r="I342" i="4" s="1"/>
  <c r="I343" i="4" s="1"/>
  <c r="I344" i="4" s="1"/>
  <c r="I345" i="4" s="1"/>
  <c r="I346" i="4" s="1"/>
  <c r="I347" i="4" s="1"/>
  <c r="I348" i="4" s="1"/>
  <c r="I349" i="4" s="1"/>
  <c r="I350" i="4" s="1"/>
  <c r="I351" i="4" s="1"/>
  <c r="I352" i="4" s="1"/>
  <c r="I353" i="4" s="1"/>
  <c r="I354" i="4" s="1"/>
  <c r="I355" i="4" s="1"/>
  <c r="I356" i="4" s="1"/>
  <c r="I357" i="4" s="1"/>
  <c r="I358" i="4" s="1"/>
  <c r="I359" i="4" s="1"/>
  <c r="I360" i="4" s="1"/>
  <c r="I361" i="4" s="1"/>
  <c r="I362" i="4" s="1"/>
  <c r="I363" i="4" s="1"/>
  <c r="I364" i="4" s="1"/>
  <c r="I365" i="4" s="1"/>
  <c r="I366" i="4" s="1"/>
  <c r="I367" i="4" s="1"/>
  <c r="I368" i="4" s="1"/>
  <c r="I369" i="4" s="1"/>
  <c r="I370" i="4" s="1"/>
  <c r="I371" i="4" s="1"/>
  <c r="I372" i="4" s="1"/>
  <c r="I373" i="4" s="1"/>
  <c r="I374" i="4" s="1"/>
  <c r="I375" i="4" s="1"/>
  <c r="I376" i="4" s="1"/>
  <c r="I377" i="4" s="1"/>
  <c r="I378" i="4" s="1"/>
  <c r="I379" i="4" s="1"/>
  <c r="I380" i="4" s="1"/>
  <c r="I381" i="4" s="1"/>
  <c r="I382" i="4" s="1"/>
  <c r="I383" i="4" s="1"/>
  <c r="I384" i="4" s="1"/>
  <c r="I385" i="4" s="1"/>
  <c r="I386" i="4" s="1"/>
  <c r="I387" i="4" s="1"/>
  <c r="I388" i="4" s="1"/>
  <c r="I389" i="4" s="1"/>
  <c r="I390" i="4" s="1"/>
  <c r="I391" i="4" s="1"/>
  <c r="I392" i="4" s="1"/>
  <c r="I393" i="4" s="1"/>
  <c r="I394" i="4" s="1"/>
  <c r="I395" i="4" s="1"/>
  <c r="I396" i="4" s="1"/>
  <c r="I397" i="4" s="1"/>
  <c r="I398" i="4" s="1"/>
  <c r="I399" i="4" s="1"/>
  <c r="I400" i="4" s="1"/>
  <c r="I401" i="4" s="1"/>
  <c r="I402" i="4" s="1"/>
  <c r="I403" i="4" s="1"/>
  <c r="I404" i="4" s="1"/>
  <c r="I405" i="4" s="1"/>
  <c r="I406" i="4" s="1"/>
  <c r="I407" i="4" s="1"/>
  <c r="I408" i="4" s="1"/>
  <c r="I409" i="4" s="1"/>
  <c r="I410" i="4" s="1"/>
  <c r="I411" i="4" s="1"/>
  <c r="I412" i="4" s="1"/>
  <c r="I413" i="4" s="1"/>
  <c r="I414" i="4" s="1"/>
  <c r="I415" i="4" s="1"/>
  <c r="I416" i="4" s="1"/>
  <c r="I417" i="4" s="1"/>
  <c r="I418" i="4" s="1"/>
  <c r="I419" i="4" s="1"/>
  <c r="I420" i="4" s="1"/>
  <c r="I421" i="4" s="1"/>
  <c r="I422" i="4" s="1"/>
  <c r="I423" i="4" s="1"/>
  <c r="I424" i="4" s="1"/>
  <c r="I425" i="4" s="1"/>
  <c r="I426" i="4" s="1"/>
  <c r="I427" i="4" s="1"/>
  <c r="I428" i="4" s="1"/>
  <c r="I429" i="4" s="1"/>
  <c r="I430" i="4" s="1"/>
  <c r="I431" i="4" s="1"/>
  <c r="I432" i="4" s="1"/>
  <c r="I433" i="4" s="1"/>
  <c r="I434" i="4" s="1"/>
  <c r="I435" i="4" s="1"/>
  <c r="I436" i="4" s="1"/>
  <c r="I437" i="4" s="1"/>
  <c r="I438" i="4" s="1"/>
  <c r="I439" i="4" s="1"/>
  <c r="I440" i="4" s="1"/>
  <c r="I441" i="4" s="1"/>
  <c r="I442" i="4" s="1"/>
  <c r="I443" i="4" s="1"/>
  <c r="I444" i="4" s="1"/>
  <c r="I445" i="4" s="1"/>
  <c r="I446" i="4" s="1"/>
  <c r="I447" i="4" s="1"/>
  <c r="I448" i="4" s="1"/>
  <c r="I449" i="4" s="1"/>
  <c r="I450" i="4" s="1"/>
  <c r="I451" i="4" s="1"/>
  <c r="I452" i="4" s="1"/>
  <c r="I453" i="4" s="1"/>
  <c r="I454" i="4" s="1"/>
  <c r="I455" i="4" s="1"/>
  <c r="I456" i="4" s="1"/>
  <c r="I457" i="4" s="1"/>
  <c r="I458" i="4" s="1"/>
  <c r="I459" i="4" s="1"/>
  <c r="I460" i="4" s="1"/>
  <c r="I461" i="4" s="1"/>
  <c r="I462" i="4" s="1"/>
  <c r="I463" i="4" s="1"/>
  <c r="I464" i="4" s="1"/>
  <c r="I465" i="4" s="1"/>
  <c r="I466" i="4" s="1"/>
  <c r="I467" i="4" s="1"/>
  <c r="I468" i="4" s="1"/>
  <c r="I469" i="4" s="1"/>
  <c r="I470" i="4" s="1"/>
  <c r="I471" i="4" s="1"/>
  <c r="I472" i="4" s="1"/>
  <c r="I473" i="4" s="1"/>
  <c r="I474" i="4" s="1"/>
  <c r="I475" i="4" s="1"/>
  <c r="I476" i="4" s="1"/>
  <c r="I477" i="4" s="1"/>
  <c r="I478" i="4" s="1"/>
  <c r="I479" i="4" s="1"/>
  <c r="I480" i="4" s="1"/>
  <c r="I481" i="4" s="1"/>
  <c r="I482" i="4" s="1"/>
  <c r="I483" i="4" s="1"/>
  <c r="I484" i="4" s="1"/>
  <c r="I485" i="4" s="1"/>
  <c r="I486" i="4" s="1"/>
  <c r="I487" i="4" s="1"/>
  <c r="I488" i="4" s="1"/>
  <c r="I489" i="4" s="1"/>
  <c r="I490" i="4" s="1"/>
  <c r="I491" i="4" s="1"/>
  <c r="I492" i="4" s="1"/>
  <c r="I493" i="4" s="1"/>
  <c r="I494" i="4" s="1"/>
  <c r="I495" i="4" s="1"/>
  <c r="I496" i="4" s="1"/>
  <c r="I497" i="4" s="1"/>
  <c r="I498" i="4" s="1"/>
  <c r="I499" i="4" s="1"/>
  <c r="I500" i="4" s="1"/>
  <c r="I501" i="4" s="1"/>
  <c r="I502" i="4" s="1"/>
  <c r="I503" i="4" s="1"/>
  <c r="I504" i="4" s="1"/>
  <c r="J5" i="4"/>
  <c r="D15" i="4"/>
  <c r="D14" i="4"/>
  <c r="D4" i="4"/>
  <c r="K22" i="3"/>
  <c r="K21" i="3"/>
  <c r="K4" i="3"/>
  <c r="D21" i="3"/>
  <c r="D22" i="3"/>
  <c r="D4" i="3"/>
  <c r="F21" i="2"/>
  <c r="F22" i="2"/>
  <c r="F16" i="2"/>
  <c r="F15" i="2"/>
  <c r="F17" i="2" s="1"/>
  <c r="F19" i="2" s="1"/>
  <c r="G7" i="5" s="1"/>
  <c r="D21" i="2"/>
  <c r="D15" i="2"/>
  <c r="D22" i="2"/>
  <c r="D16" i="2"/>
  <c r="D17" i="2" s="1"/>
  <c r="D19" i="2" s="1"/>
  <c r="E7" i="5" s="1"/>
  <c r="D4" i="2"/>
  <c r="D37" i="1"/>
  <c r="D36" i="1"/>
  <c r="D20" i="1"/>
  <c r="D21" i="1" s="1"/>
  <c r="J43" i="1" l="1"/>
  <c r="C23" i="1"/>
  <c r="F7" i="5" s="1"/>
  <c r="D38" i="1"/>
  <c r="C40" i="1" s="1"/>
  <c r="G6" i="6" s="1"/>
  <c r="J69" i="7"/>
  <c r="J74" i="7"/>
  <c r="J76" i="7"/>
  <c r="J78" i="7"/>
  <c r="J70" i="7"/>
  <c r="L8" i="6"/>
  <c r="K487" i="4"/>
  <c r="L487" i="4" s="1"/>
  <c r="K335" i="4"/>
  <c r="L335" i="4" s="1"/>
  <c r="K462" i="4"/>
  <c r="L462" i="4" s="1"/>
  <c r="Q462" i="4" s="1"/>
  <c r="F8" i="5"/>
  <c r="K415" i="4"/>
  <c r="L415" i="4" s="1"/>
  <c r="K183" i="4"/>
  <c r="M183" i="4" s="1"/>
  <c r="K470" i="4"/>
  <c r="K406" i="4"/>
  <c r="L406" i="4" s="1"/>
  <c r="K326" i="4"/>
  <c r="M326" i="4" s="1"/>
  <c r="K442" i="4"/>
  <c r="M442" i="4" s="1"/>
  <c r="K258" i="4"/>
  <c r="M258" i="4" s="1"/>
  <c r="K242" i="4"/>
  <c r="M242" i="4" s="1"/>
  <c r="K410" i="4"/>
  <c r="M410" i="4" s="1"/>
  <c r="K298" i="4"/>
  <c r="M298" i="4" s="1"/>
  <c r="K497" i="4"/>
  <c r="K465" i="4"/>
  <c r="M465" i="4" s="1"/>
  <c r="K457" i="4"/>
  <c r="M457" i="4" s="1"/>
  <c r="K393" i="4"/>
  <c r="M393" i="4" s="1"/>
  <c r="K337" i="4"/>
  <c r="M337" i="4" s="1"/>
  <c r="K305" i="4"/>
  <c r="M305" i="4" s="1"/>
  <c r="K273" i="4"/>
  <c r="M273" i="4" s="1"/>
  <c r="K257" i="4"/>
  <c r="M257" i="4" s="1"/>
  <c r="K177" i="4"/>
  <c r="M177" i="4" s="1"/>
  <c r="K94" i="4"/>
  <c r="L94" i="4" s="1"/>
  <c r="K78" i="4"/>
  <c r="L78" i="4" s="1"/>
  <c r="K477" i="4"/>
  <c r="K397" i="4"/>
  <c r="L397" i="4" s="1"/>
  <c r="K389" i="4"/>
  <c r="K357" i="4"/>
  <c r="K341" i="4"/>
  <c r="L341" i="4" s="1"/>
  <c r="Q341" i="4" s="1"/>
  <c r="K261" i="4"/>
  <c r="L261" i="4" s="1"/>
  <c r="K229" i="4"/>
  <c r="L229" i="4" s="1"/>
  <c r="Q229" i="4" s="1"/>
  <c r="K197" i="4"/>
  <c r="L197" i="4" s="1"/>
  <c r="K157" i="4"/>
  <c r="L157" i="4" s="1"/>
  <c r="K77" i="4"/>
  <c r="M77" i="4" s="1"/>
  <c r="K69" i="4"/>
  <c r="L69" i="4" s="1"/>
  <c r="K37" i="4"/>
  <c r="K468" i="4"/>
  <c r="L468" i="4" s="1"/>
  <c r="K436" i="4"/>
  <c r="L436" i="4" s="1"/>
  <c r="K380" i="4"/>
  <c r="L380" i="4" s="1"/>
  <c r="K372" i="4"/>
  <c r="L372" i="4" s="1"/>
  <c r="K332" i="4"/>
  <c r="L332" i="4" s="1"/>
  <c r="Q332" i="4" s="1"/>
  <c r="K252" i="4"/>
  <c r="L252" i="4" s="1"/>
  <c r="Q252" i="4" s="1"/>
  <c r="K244" i="4"/>
  <c r="M244" i="4" s="1"/>
  <c r="K212" i="4"/>
  <c r="K86" i="4"/>
  <c r="L86" i="4" s="1"/>
  <c r="K459" i="4"/>
  <c r="M459" i="4" s="1"/>
  <c r="K451" i="4"/>
  <c r="M451" i="4" s="1"/>
  <c r="K443" i="4"/>
  <c r="M443" i="4" s="1"/>
  <c r="K411" i="4"/>
  <c r="M411" i="4" s="1"/>
  <c r="K403" i="4"/>
  <c r="M403" i="4" s="1"/>
  <c r="K323" i="4"/>
  <c r="M323" i="4" s="1"/>
  <c r="K315" i="4"/>
  <c r="M315" i="4" s="1"/>
  <c r="K259" i="4"/>
  <c r="K251" i="4"/>
  <c r="M251" i="4" s="1"/>
  <c r="K219" i="4"/>
  <c r="M219" i="4" s="1"/>
  <c r="K139" i="4"/>
  <c r="M139" i="4" s="1"/>
  <c r="K131" i="4"/>
  <c r="M131" i="4" s="1"/>
  <c r="K123" i="4"/>
  <c r="K91" i="4"/>
  <c r="M91" i="4" s="1"/>
  <c r="K59" i="4"/>
  <c r="M59" i="4" s="1"/>
  <c r="K161" i="4"/>
  <c r="M161" i="4" s="1"/>
  <c r="K105" i="4"/>
  <c r="M105" i="4" s="1"/>
  <c r="K97" i="4"/>
  <c r="M97" i="4" s="1"/>
  <c r="K89" i="4"/>
  <c r="M89" i="4" s="1"/>
  <c r="K57" i="4"/>
  <c r="M57" i="4" s="1"/>
  <c r="K144" i="4"/>
  <c r="L144" i="4" s="1"/>
  <c r="K136" i="4"/>
  <c r="L136" i="4" s="1"/>
  <c r="K128" i="4"/>
  <c r="L128" i="4" s="1"/>
  <c r="K72" i="4"/>
  <c r="L72" i="4" s="1"/>
  <c r="K64" i="4"/>
  <c r="L64" i="4" s="1"/>
  <c r="Q64" i="4" s="1"/>
  <c r="K124" i="4"/>
  <c r="L124" i="4" s="1"/>
  <c r="K116" i="4"/>
  <c r="L116" i="4" s="1"/>
  <c r="Q116" i="4" s="1"/>
  <c r="K108" i="4"/>
  <c r="L108" i="4" s="1"/>
  <c r="K100" i="4"/>
  <c r="M100" i="4" s="1"/>
  <c r="K68" i="4"/>
  <c r="M68" i="4" s="1"/>
  <c r="K146" i="4"/>
  <c r="M146" i="4" s="1"/>
  <c r="K138" i="4"/>
  <c r="M138" i="4" s="1"/>
  <c r="K82" i="4"/>
  <c r="M82" i="4" s="1"/>
  <c r="K74" i="4"/>
  <c r="M74" i="4" s="1"/>
  <c r="K66" i="4"/>
  <c r="M66" i="4" s="1"/>
  <c r="K5" i="4"/>
  <c r="M5" i="4" s="1"/>
  <c r="D16" i="4"/>
  <c r="D18" i="4" s="1"/>
  <c r="K280" i="4" s="1"/>
  <c r="M280" i="4" s="1"/>
  <c r="K23" i="3"/>
  <c r="K25" i="3" s="1"/>
  <c r="D23" i="3"/>
  <c r="D25" i="3" s="1"/>
  <c r="F23" i="2"/>
  <c r="F25" i="2" s="1"/>
  <c r="G8" i="5" s="1"/>
  <c r="D23" i="2"/>
  <c r="D25" i="2" s="1"/>
  <c r="E8" i="5" s="1"/>
  <c r="F24" i="1" l="1"/>
  <c r="E6" i="6"/>
  <c r="M335" i="4"/>
  <c r="P462" i="4"/>
  <c r="M332" i="4"/>
  <c r="M487" i="4"/>
  <c r="M229" i="4"/>
  <c r="M94" i="4"/>
  <c r="L465" i="4"/>
  <c r="Q465" i="4" s="1"/>
  <c r="M397" i="4"/>
  <c r="L77" i="4"/>
  <c r="Q77" i="4" s="1"/>
  <c r="M406" i="4"/>
  <c r="M128" i="4"/>
  <c r="P341" i="4"/>
  <c r="M72" i="4"/>
  <c r="M468" i="4"/>
  <c r="L138" i="4"/>
  <c r="P138" i="4" s="1"/>
  <c r="M341" i="4"/>
  <c r="M86" i="4"/>
  <c r="L139" i="4"/>
  <c r="Q139" i="4" s="1"/>
  <c r="L66" i="4"/>
  <c r="Q66" i="4" s="1"/>
  <c r="L251" i="4"/>
  <c r="P251" i="4" s="1"/>
  <c r="L459" i="4"/>
  <c r="Q459" i="4" s="1"/>
  <c r="P64" i="4"/>
  <c r="P332" i="4"/>
  <c r="P116" i="4"/>
  <c r="M124" i="4"/>
  <c r="M144" i="4"/>
  <c r="L242" i="4"/>
  <c r="P242" i="4" s="1"/>
  <c r="M157" i="4"/>
  <c r="L337" i="4"/>
  <c r="P337" i="4" s="1"/>
  <c r="M136" i="4"/>
  <c r="L393" i="4"/>
  <c r="P393" i="4" s="1"/>
  <c r="M252" i="4"/>
  <c r="L315" i="4"/>
  <c r="P315" i="4" s="1"/>
  <c r="L411" i="4"/>
  <c r="P411" i="4" s="1"/>
  <c r="M212" i="4"/>
  <c r="L212" i="4"/>
  <c r="Q212" i="4" s="1"/>
  <c r="L37" i="4"/>
  <c r="P37" i="4" s="1"/>
  <c r="M37" i="4"/>
  <c r="L357" i="4"/>
  <c r="M357" i="4"/>
  <c r="M108" i="4"/>
  <c r="Q415" i="4"/>
  <c r="P415" i="4"/>
  <c r="M415" i="4"/>
  <c r="Q197" i="4"/>
  <c r="P197" i="4"/>
  <c r="M78" i="4"/>
  <c r="M372" i="4"/>
  <c r="P252" i="4"/>
  <c r="M123" i="4"/>
  <c r="L123" i="4"/>
  <c r="P123" i="4" s="1"/>
  <c r="P108" i="4"/>
  <c r="Q108" i="4"/>
  <c r="P372" i="4"/>
  <c r="Q372" i="4"/>
  <c r="M197" i="4"/>
  <c r="L259" i="4"/>
  <c r="Q259" i="4" s="1"/>
  <c r="M259" i="4"/>
  <c r="Q406" i="4"/>
  <c r="P406" i="4"/>
  <c r="P468" i="4"/>
  <c r="Q468" i="4"/>
  <c r="L477" i="4"/>
  <c r="M477" i="4"/>
  <c r="K180" i="4"/>
  <c r="K340" i="4"/>
  <c r="K29" i="4"/>
  <c r="K165" i="4"/>
  <c r="K349" i="4"/>
  <c r="K485" i="4"/>
  <c r="K265" i="4"/>
  <c r="K449" i="4"/>
  <c r="M449" i="4" s="1"/>
  <c r="K314" i="4"/>
  <c r="K474" i="4"/>
  <c r="K342" i="4"/>
  <c r="K383" i="4"/>
  <c r="K255" i="4"/>
  <c r="M255" i="4" s="1"/>
  <c r="P380" i="4"/>
  <c r="Q380" i="4"/>
  <c r="L389" i="4"/>
  <c r="M389" i="4"/>
  <c r="L470" i="4"/>
  <c r="M470" i="4"/>
  <c r="P487" i="4"/>
  <c r="Q487" i="4"/>
  <c r="K166" i="4"/>
  <c r="K79" i="4"/>
  <c r="K174" i="4"/>
  <c r="M69" i="4"/>
  <c r="P229" i="4"/>
  <c r="M261" i="4"/>
  <c r="L183" i="4"/>
  <c r="Q183" i="4" s="1"/>
  <c r="M436" i="4"/>
  <c r="L68" i="4"/>
  <c r="Q68" i="4" s="1"/>
  <c r="L100" i="4"/>
  <c r="P100" i="4" s="1"/>
  <c r="L74" i="4"/>
  <c r="P74" i="4" s="1"/>
  <c r="L146" i="4"/>
  <c r="P146" i="4" s="1"/>
  <c r="L258" i="4"/>
  <c r="P258" i="4" s="1"/>
  <c r="L442" i="4"/>
  <c r="P442" i="4" s="1"/>
  <c r="L443" i="4"/>
  <c r="Q443" i="4" s="1"/>
  <c r="L91" i="4"/>
  <c r="Q91" i="4" s="1"/>
  <c r="L219" i="4"/>
  <c r="P219" i="4" s="1"/>
  <c r="L97" i="4"/>
  <c r="Q97" i="4" s="1"/>
  <c r="M380" i="4"/>
  <c r="K154" i="4"/>
  <c r="K16" i="4"/>
  <c r="K152" i="4"/>
  <c r="M152" i="4" s="1"/>
  <c r="K11" i="4"/>
  <c r="K147" i="4"/>
  <c r="K331" i="4"/>
  <c r="K30" i="4"/>
  <c r="K260" i="4"/>
  <c r="K444" i="4"/>
  <c r="K85" i="4"/>
  <c r="K269" i="4"/>
  <c r="K453" i="4"/>
  <c r="K185" i="4"/>
  <c r="M185" i="4" s="1"/>
  <c r="K369" i="4"/>
  <c r="K6" i="4"/>
  <c r="K274" i="4"/>
  <c r="K182" i="4"/>
  <c r="K87" i="4"/>
  <c r="K206" i="4"/>
  <c r="K192" i="4"/>
  <c r="M192" i="4" s="1"/>
  <c r="P436" i="4"/>
  <c r="Q436" i="4"/>
  <c r="P397" i="4"/>
  <c r="Q397" i="4"/>
  <c r="L497" i="4"/>
  <c r="M497" i="4"/>
  <c r="M116" i="4"/>
  <c r="M64" i="4"/>
  <c r="L298" i="4"/>
  <c r="Q298" i="4" s="1"/>
  <c r="L410" i="4"/>
  <c r="P410" i="4" s="1"/>
  <c r="L59" i="4"/>
  <c r="P59" i="4" s="1"/>
  <c r="L131" i="4"/>
  <c r="P131" i="4" s="1"/>
  <c r="L323" i="4"/>
  <c r="Q323" i="4" s="1"/>
  <c r="L257" i="4"/>
  <c r="Q257" i="4" s="1"/>
  <c r="M462" i="4"/>
  <c r="K26" i="4"/>
  <c r="K162" i="4"/>
  <c r="K24" i="4"/>
  <c r="K160" i="4"/>
  <c r="K19" i="4"/>
  <c r="M19" i="4" s="1"/>
  <c r="K203" i="4"/>
  <c r="K339" i="4"/>
  <c r="M339" i="4" s="1"/>
  <c r="K46" i="4"/>
  <c r="K268" i="4"/>
  <c r="K452" i="4"/>
  <c r="K141" i="4"/>
  <c r="K277" i="4"/>
  <c r="K461" i="4"/>
  <c r="K193" i="4"/>
  <c r="K377" i="4"/>
  <c r="M377" i="4" s="1"/>
  <c r="K250" i="4"/>
  <c r="K402" i="4"/>
  <c r="M402" i="4" s="1"/>
  <c r="K190" i="4"/>
  <c r="K95" i="4"/>
  <c r="M95" i="4" s="1"/>
  <c r="K286" i="4"/>
  <c r="O8" i="4"/>
  <c r="O16" i="4"/>
  <c r="O24" i="4"/>
  <c r="O32" i="4"/>
  <c r="O40" i="4"/>
  <c r="O48" i="4"/>
  <c r="O56" i="4"/>
  <c r="O64" i="4"/>
  <c r="O72" i="4"/>
  <c r="O80" i="4"/>
  <c r="O88" i="4"/>
  <c r="O96" i="4"/>
  <c r="O104" i="4"/>
  <c r="O112" i="4"/>
  <c r="O120" i="4"/>
  <c r="O128" i="4"/>
  <c r="O136" i="4"/>
  <c r="O144" i="4"/>
  <c r="O152" i="4"/>
  <c r="O160" i="4"/>
  <c r="O168" i="4"/>
  <c r="O176" i="4"/>
  <c r="O184" i="4"/>
  <c r="O192" i="4"/>
  <c r="O200" i="4"/>
  <c r="O208" i="4"/>
  <c r="O216" i="4"/>
  <c r="O224" i="4"/>
  <c r="O232" i="4"/>
  <c r="O240" i="4"/>
  <c r="O248" i="4"/>
  <c r="O256" i="4"/>
  <c r="O264" i="4"/>
  <c r="O272" i="4"/>
  <c r="O280" i="4"/>
  <c r="O288" i="4"/>
  <c r="O296" i="4"/>
  <c r="O304" i="4"/>
  <c r="O312" i="4"/>
  <c r="O320" i="4"/>
  <c r="O328" i="4"/>
  <c r="O336" i="4"/>
  <c r="O344" i="4"/>
  <c r="O352" i="4"/>
  <c r="O360" i="4"/>
  <c r="O368" i="4"/>
  <c r="O376" i="4"/>
  <c r="O384" i="4"/>
  <c r="O392" i="4"/>
  <c r="O400" i="4"/>
  <c r="O408" i="4"/>
  <c r="O416" i="4"/>
  <c r="O424" i="4"/>
  <c r="O432" i="4"/>
  <c r="O440" i="4"/>
  <c r="O448" i="4"/>
  <c r="O456" i="4"/>
  <c r="O464" i="4"/>
  <c r="O472" i="4"/>
  <c r="O480" i="4"/>
  <c r="O488" i="4"/>
  <c r="O496" i="4"/>
  <c r="O504" i="4"/>
  <c r="O9" i="4"/>
  <c r="O17" i="4"/>
  <c r="O25" i="4"/>
  <c r="O33" i="4"/>
  <c r="O41" i="4"/>
  <c r="O49" i="4"/>
  <c r="O57" i="4"/>
  <c r="O65" i="4"/>
  <c r="O73" i="4"/>
  <c r="O81" i="4"/>
  <c r="O89" i="4"/>
  <c r="O97" i="4"/>
  <c r="O105" i="4"/>
  <c r="O113" i="4"/>
  <c r="O121" i="4"/>
  <c r="O129" i="4"/>
  <c r="O137" i="4"/>
  <c r="O145" i="4"/>
  <c r="O153" i="4"/>
  <c r="O161" i="4"/>
  <c r="O169" i="4"/>
  <c r="O177" i="4"/>
  <c r="O185" i="4"/>
  <c r="O193" i="4"/>
  <c r="O201" i="4"/>
  <c r="O209" i="4"/>
  <c r="O217" i="4"/>
  <c r="O225" i="4"/>
  <c r="O233" i="4"/>
  <c r="O241" i="4"/>
  <c r="O249" i="4"/>
  <c r="O257" i="4"/>
  <c r="O265" i="4"/>
  <c r="O273" i="4"/>
  <c r="O281" i="4"/>
  <c r="O289" i="4"/>
  <c r="O297" i="4"/>
  <c r="O305" i="4"/>
  <c r="O313" i="4"/>
  <c r="O321" i="4"/>
  <c r="O329" i="4"/>
  <c r="O337" i="4"/>
  <c r="O345" i="4"/>
  <c r="O353" i="4"/>
  <c r="O361" i="4"/>
  <c r="O369" i="4"/>
  <c r="O377" i="4"/>
  <c r="O385" i="4"/>
  <c r="O393" i="4"/>
  <c r="O401" i="4"/>
  <c r="O409" i="4"/>
  <c r="O417" i="4"/>
  <c r="O425" i="4"/>
  <c r="O433" i="4"/>
  <c r="O441" i="4"/>
  <c r="O449" i="4"/>
  <c r="O457" i="4"/>
  <c r="O465" i="4"/>
  <c r="O473" i="4"/>
  <c r="O481" i="4"/>
  <c r="O489" i="4"/>
  <c r="O497" i="4"/>
  <c r="O5" i="4"/>
  <c r="O10" i="4"/>
  <c r="O18" i="4"/>
  <c r="O26" i="4"/>
  <c r="O34" i="4"/>
  <c r="O42" i="4"/>
  <c r="O50" i="4"/>
  <c r="O58" i="4"/>
  <c r="O66" i="4"/>
  <c r="O74" i="4"/>
  <c r="O82" i="4"/>
  <c r="O90" i="4"/>
  <c r="O98" i="4"/>
  <c r="O106" i="4"/>
  <c r="O114" i="4"/>
  <c r="O122" i="4"/>
  <c r="O130" i="4"/>
  <c r="O138" i="4"/>
  <c r="O146" i="4"/>
  <c r="O154" i="4"/>
  <c r="O162" i="4"/>
  <c r="O170" i="4"/>
  <c r="O178" i="4"/>
  <c r="O186" i="4"/>
  <c r="O194" i="4"/>
  <c r="O202" i="4"/>
  <c r="O210" i="4"/>
  <c r="O218" i="4"/>
  <c r="O226" i="4"/>
  <c r="O234" i="4"/>
  <c r="O242" i="4"/>
  <c r="O250" i="4"/>
  <c r="O258" i="4"/>
  <c r="O266" i="4"/>
  <c r="O274" i="4"/>
  <c r="O282" i="4"/>
  <c r="O290" i="4"/>
  <c r="O298" i="4"/>
  <c r="O306" i="4"/>
  <c r="O314" i="4"/>
  <c r="O322" i="4"/>
  <c r="O330" i="4"/>
  <c r="O338" i="4"/>
  <c r="O346" i="4"/>
  <c r="O354" i="4"/>
  <c r="O362" i="4"/>
  <c r="O370" i="4"/>
  <c r="O378" i="4"/>
  <c r="O386" i="4"/>
  <c r="O394" i="4"/>
  <c r="O402" i="4"/>
  <c r="O410" i="4"/>
  <c r="O418" i="4"/>
  <c r="O426" i="4"/>
  <c r="O434" i="4"/>
  <c r="O442" i="4"/>
  <c r="O450" i="4"/>
  <c r="O458" i="4"/>
  <c r="O466" i="4"/>
  <c r="O474" i="4"/>
  <c r="O482" i="4"/>
  <c r="O490" i="4"/>
  <c r="O498" i="4"/>
  <c r="O12" i="4"/>
  <c r="O20" i="4"/>
  <c r="O28" i="4"/>
  <c r="O36" i="4"/>
  <c r="O44" i="4"/>
  <c r="O52" i="4"/>
  <c r="O60" i="4"/>
  <c r="O68" i="4"/>
  <c r="O76" i="4"/>
  <c r="O84" i="4"/>
  <c r="O92" i="4"/>
  <c r="O100" i="4"/>
  <c r="O108" i="4"/>
  <c r="O116" i="4"/>
  <c r="O124" i="4"/>
  <c r="O132" i="4"/>
  <c r="O140" i="4"/>
  <c r="O148" i="4"/>
  <c r="O156" i="4"/>
  <c r="O164" i="4"/>
  <c r="O172" i="4"/>
  <c r="O180" i="4"/>
  <c r="O188" i="4"/>
  <c r="O196" i="4"/>
  <c r="O204" i="4"/>
  <c r="O212" i="4"/>
  <c r="O220" i="4"/>
  <c r="O228" i="4"/>
  <c r="O236" i="4"/>
  <c r="O244" i="4"/>
  <c r="O252" i="4"/>
  <c r="O260" i="4"/>
  <c r="O268" i="4"/>
  <c r="O276" i="4"/>
  <c r="O284" i="4"/>
  <c r="O292" i="4"/>
  <c r="O300" i="4"/>
  <c r="O308" i="4"/>
  <c r="O316" i="4"/>
  <c r="O324" i="4"/>
  <c r="O332" i="4"/>
  <c r="O340" i="4"/>
  <c r="O348" i="4"/>
  <c r="O356" i="4"/>
  <c r="O364" i="4"/>
  <c r="O372" i="4"/>
  <c r="O380" i="4"/>
  <c r="O388" i="4"/>
  <c r="O396" i="4"/>
  <c r="O404" i="4"/>
  <c r="O412" i="4"/>
  <c r="O420" i="4"/>
  <c r="O428" i="4"/>
  <c r="O436" i="4"/>
  <c r="O444" i="4"/>
  <c r="O452" i="4"/>
  <c r="O460" i="4"/>
  <c r="O468" i="4"/>
  <c r="O476" i="4"/>
  <c r="O484" i="4"/>
  <c r="O492" i="4"/>
  <c r="O500" i="4"/>
  <c r="O13" i="4"/>
  <c r="O21" i="4"/>
  <c r="O29" i="4"/>
  <c r="O37" i="4"/>
  <c r="O45" i="4"/>
  <c r="O53" i="4"/>
  <c r="O61" i="4"/>
  <c r="O69" i="4"/>
  <c r="O77" i="4"/>
  <c r="O85" i="4"/>
  <c r="O93" i="4"/>
  <c r="O101" i="4"/>
  <c r="O109" i="4"/>
  <c r="O117" i="4"/>
  <c r="O125" i="4"/>
  <c r="O133" i="4"/>
  <c r="O141" i="4"/>
  <c r="O149" i="4"/>
  <c r="O157" i="4"/>
  <c r="O165" i="4"/>
  <c r="O173" i="4"/>
  <c r="O181" i="4"/>
  <c r="O189" i="4"/>
  <c r="O197" i="4"/>
  <c r="O205" i="4"/>
  <c r="O213" i="4"/>
  <c r="O221" i="4"/>
  <c r="O229" i="4"/>
  <c r="O237" i="4"/>
  <c r="O245" i="4"/>
  <c r="O253" i="4"/>
  <c r="O261" i="4"/>
  <c r="O269" i="4"/>
  <c r="O277" i="4"/>
  <c r="O285" i="4"/>
  <c r="O293" i="4"/>
  <c r="O301" i="4"/>
  <c r="O309" i="4"/>
  <c r="O317" i="4"/>
  <c r="O325" i="4"/>
  <c r="O333" i="4"/>
  <c r="O341" i="4"/>
  <c r="O349" i="4"/>
  <c r="O357" i="4"/>
  <c r="O365" i="4"/>
  <c r="O373" i="4"/>
  <c r="O381" i="4"/>
  <c r="O389" i="4"/>
  <c r="O397" i="4"/>
  <c r="O405" i="4"/>
  <c r="O413" i="4"/>
  <c r="O421" i="4"/>
  <c r="O429" i="4"/>
  <c r="O437" i="4"/>
  <c r="O445" i="4"/>
  <c r="O453" i="4"/>
  <c r="O461" i="4"/>
  <c r="O469" i="4"/>
  <c r="O477" i="4"/>
  <c r="O485" i="4"/>
  <c r="O493" i="4"/>
  <c r="O501" i="4"/>
  <c r="O6" i="4"/>
  <c r="O14" i="4"/>
  <c r="O22" i="4"/>
  <c r="O30" i="4"/>
  <c r="O38" i="4"/>
  <c r="O46" i="4"/>
  <c r="O54" i="4"/>
  <c r="O62" i="4"/>
  <c r="O70" i="4"/>
  <c r="O78" i="4"/>
  <c r="O86" i="4"/>
  <c r="O94" i="4"/>
  <c r="O102" i="4"/>
  <c r="O110" i="4"/>
  <c r="O118" i="4"/>
  <c r="O126" i="4"/>
  <c r="O134" i="4"/>
  <c r="O142" i="4"/>
  <c r="O150" i="4"/>
  <c r="O158" i="4"/>
  <c r="O166" i="4"/>
  <c r="O174" i="4"/>
  <c r="O182" i="4"/>
  <c r="O190" i="4"/>
  <c r="O198" i="4"/>
  <c r="O206" i="4"/>
  <c r="O214" i="4"/>
  <c r="O222" i="4"/>
  <c r="O230" i="4"/>
  <c r="O238" i="4"/>
  <c r="O246" i="4"/>
  <c r="O254" i="4"/>
  <c r="O262" i="4"/>
  <c r="O270" i="4"/>
  <c r="O278" i="4"/>
  <c r="O286" i="4"/>
  <c r="O294" i="4"/>
  <c r="O302" i="4"/>
  <c r="O310" i="4"/>
  <c r="O318" i="4"/>
  <c r="O326" i="4"/>
  <c r="O334" i="4"/>
  <c r="O342" i="4"/>
  <c r="O350" i="4"/>
  <c r="O358" i="4"/>
  <c r="O366" i="4"/>
  <c r="O374" i="4"/>
  <c r="O382" i="4"/>
  <c r="O390" i="4"/>
  <c r="O398" i="4"/>
  <c r="O406" i="4"/>
  <c r="O414" i="4"/>
  <c r="O422" i="4"/>
  <c r="O430" i="4"/>
  <c r="O438" i="4"/>
  <c r="O446" i="4"/>
  <c r="O454" i="4"/>
  <c r="O462" i="4"/>
  <c r="O470" i="4"/>
  <c r="O478" i="4"/>
  <c r="O486" i="4"/>
  <c r="O494" i="4"/>
  <c r="O502" i="4"/>
  <c r="O7" i="4"/>
  <c r="O15" i="4"/>
  <c r="O23" i="4"/>
  <c r="O31" i="4"/>
  <c r="O39" i="4"/>
  <c r="O47" i="4"/>
  <c r="O55" i="4"/>
  <c r="O63" i="4"/>
  <c r="O71" i="4"/>
  <c r="O79" i="4"/>
  <c r="O87" i="4"/>
  <c r="O95" i="4"/>
  <c r="O103" i="4"/>
  <c r="O111" i="4"/>
  <c r="O119" i="4"/>
  <c r="O127" i="4"/>
  <c r="O135" i="4"/>
  <c r="O143" i="4"/>
  <c r="O151" i="4"/>
  <c r="O159" i="4"/>
  <c r="O167" i="4"/>
  <c r="O175" i="4"/>
  <c r="O183" i="4"/>
  <c r="O191" i="4"/>
  <c r="O199" i="4"/>
  <c r="O207" i="4"/>
  <c r="O215" i="4"/>
  <c r="O223" i="4"/>
  <c r="O231" i="4"/>
  <c r="O239" i="4"/>
  <c r="O247" i="4"/>
  <c r="O255" i="4"/>
  <c r="O263" i="4"/>
  <c r="O271" i="4"/>
  <c r="O279" i="4"/>
  <c r="O287" i="4"/>
  <c r="O295" i="4"/>
  <c r="O303" i="4"/>
  <c r="O311" i="4"/>
  <c r="O319" i="4"/>
  <c r="O327" i="4"/>
  <c r="O335" i="4"/>
  <c r="O343" i="4"/>
  <c r="O351" i="4"/>
  <c r="O359" i="4"/>
  <c r="O367" i="4"/>
  <c r="O375" i="4"/>
  <c r="O383" i="4"/>
  <c r="O391" i="4"/>
  <c r="O399" i="4"/>
  <c r="O407" i="4"/>
  <c r="O415" i="4"/>
  <c r="O423" i="4"/>
  <c r="O431" i="4"/>
  <c r="O439" i="4"/>
  <c r="O447" i="4"/>
  <c r="O455" i="4"/>
  <c r="O463" i="4"/>
  <c r="O471" i="4"/>
  <c r="O479" i="4"/>
  <c r="O487" i="4"/>
  <c r="O495" i="4"/>
  <c r="O503" i="4"/>
  <c r="O27" i="4"/>
  <c r="O91" i="4"/>
  <c r="O155" i="4"/>
  <c r="O219" i="4"/>
  <c r="O283" i="4"/>
  <c r="O347" i="4"/>
  <c r="O411" i="4"/>
  <c r="O475" i="4"/>
  <c r="O179" i="4"/>
  <c r="O35" i="4"/>
  <c r="O99" i="4"/>
  <c r="O163" i="4"/>
  <c r="O227" i="4"/>
  <c r="O291" i="4"/>
  <c r="O355" i="4"/>
  <c r="O419" i="4"/>
  <c r="O483" i="4"/>
  <c r="O43" i="4"/>
  <c r="O107" i="4"/>
  <c r="O171" i="4"/>
  <c r="O235" i="4"/>
  <c r="O299" i="4"/>
  <c r="O363" i="4"/>
  <c r="O427" i="4"/>
  <c r="O491" i="4"/>
  <c r="O51" i="4"/>
  <c r="O115" i="4"/>
  <c r="O243" i="4"/>
  <c r="O307" i="4"/>
  <c r="O371" i="4"/>
  <c r="O499" i="4"/>
  <c r="O11" i="4"/>
  <c r="O75" i="4"/>
  <c r="O139" i="4"/>
  <c r="O203" i="4"/>
  <c r="O267" i="4"/>
  <c r="O331" i="4"/>
  <c r="O395" i="4"/>
  <c r="O459" i="4"/>
  <c r="O83" i="4"/>
  <c r="O275" i="4"/>
  <c r="O403" i="4"/>
  <c r="O19" i="4"/>
  <c r="O147" i="4"/>
  <c r="O211" i="4"/>
  <c r="O339" i="4"/>
  <c r="O467" i="4"/>
  <c r="O123" i="4"/>
  <c r="O379" i="4"/>
  <c r="O131" i="4"/>
  <c r="O387" i="4"/>
  <c r="O251" i="4"/>
  <c r="O187" i="4"/>
  <c r="O435" i="4"/>
  <c r="O195" i="4"/>
  <c r="O443" i="4"/>
  <c r="O451" i="4"/>
  <c r="O259" i="4"/>
  <c r="O59" i="4"/>
  <c r="O315" i="4"/>
  <c r="O67" i="4"/>
  <c r="O323" i="4"/>
  <c r="K504" i="4"/>
  <c r="K440" i="4"/>
  <c r="M440" i="4" s="1"/>
  <c r="K376" i="4"/>
  <c r="K312" i="4"/>
  <c r="K248" i="4"/>
  <c r="K184" i="4"/>
  <c r="M184" i="4" s="1"/>
  <c r="K23" i="4"/>
  <c r="K439" i="4"/>
  <c r="K303" i="4"/>
  <c r="K167" i="4"/>
  <c r="K398" i="4"/>
  <c r="K270" i="4"/>
  <c r="K495" i="4"/>
  <c r="K367" i="4"/>
  <c r="K231" i="4"/>
  <c r="K135" i="4"/>
  <c r="K47" i="4"/>
  <c r="K390" i="4"/>
  <c r="K262" i="4"/>
  <c r="K158" i="4"/>
  <c r="K466" i="4"/>
  <c r="K362" i="4"/>
  <c r="K226" i="4"/>
  <c r="M226" i="4" s="1"/>
  <c r="K354" i="4"/>
  <c r="K234" i="4"/>
  <c r="K489" i="4"/>
  <c r="M489" i="4" s="1"/>
  <c r="K425" i="4"/>
  <c r="M425" i="4" s="1"/>
  <c r="K361" i="4"/>
  <c r="K297" i="4"/>
  <c r="K233" i="4"/>
  <c r="K169" i="4"/>
  <c r="K22" i="4"/>
  <c r="K445" i="4"/>
  <c r="K381" i="4"/>
  <c r="K317" i="4"/>
  <c r="K253" i="4"/>
  <c r="K189" i="4"/>
  <c r="K125" i="4"/>
  <c r="K61" i="4"/>
  <c r="K492" i="4"/>
  <c r="K428" i="4"/>
  <c r="K364" i="4"/>
  <c r="K300" i="4"/>
  <c r="K236" i="4"/>
  <c r="K134" i="4"/>
  <c r="M134" i="4" s="1"/>
  <c r="K499" i="4"/>
  <c r="K435" i="4"/>
  <c r="M435" i="4" s="1"/>
  <c r="K371" i="4"/>
  <c r="K307" i="4"/>
  <c r="M307" i="4" s="1"/>
  <c r="K243" i="4"/>
  <c r="M243" i="4" s="1"/>
  <c r="K179" i="4"/>
  <c r="M179" i="4" s="1"/>
  <c r="K115" i="4"/>
  <c r="K51" i="4"/>
  <c r="K145" i="4"/>
  <c r="K81" i="4"/>
  <c r="M81" i="4" s="1"/>
  <c r="K17" i="4"/>
  <c r="K120" i="4"/>
  <c r="M120" i="4" s="1"/>
  <c r="K56" i="4"/>
  <c r="K156" i="4"/>
  <c r="K92" i="4"/>
  <c r="K28" i="4"/>
  <c r="K122" i="4"/>
  <c r="M122" i="4" s="1"/>
  <c r="K58" i="4"/>
  <c r="K496" i="4"/>
  <c r="M496" i="4" s="1"/>
  <c r="K432" i="4"/>
  <c r="M432" i="4" s="1"/>
  <c r="K368" i="4"/>
  <c r="M368" i="4" s="1"/>
  <c r="K304" i="4"/>
  <c r="K240" i="4"/>
  <c r="M240" i="4" s="1"/>
  <c r="K176" i="4"/>
  <c r="M176" i="4" s="1"/>
  <c r="K15" i="4"/>
  <c r="K423" i="4"/>
  <c r="K287" i="4"/>
  <c r="K55" i="4"/>
  <c r="M55" i="4" s="1"/>
  <c r="K382" i="4"/>
  <c r="K254" i="4"/>
  <c r="K479" i="4"/>
  <c r="K343" i="4"/>
  <c r="K215" i="4"/>
  <c r="K119" i="4"/>
  <c r="K502" i="4"/>
  <c r="K374" i="4"/>
  <c r="K246" i="4"/>
  <c r="K150" i="4"/>
  <c r="K458" i="4"/>
  <c r="K346" i="4"/>
  <c r="K210" i="4"/>
  <c r="K338" i="4"/>
  <c r="M338" i="4" s="1"/>
  <c r="K218" i="4"/>
  <c r="K481" i="4"/>
  <c r="M481" i="4" s="1"/>
  <c r="K417" i="4"/>
  <c r="M417" i="4" s="1"/>
  <c r="K353" i="4"/>
  <c r="K289" i="4"/>
  <c r="K225" i="4"/>
  <c r="K126" i="4"/>
  <c r="K501" i="4"/>
  <c r="K437" i="4"/>
  <c r="K373" i="4"/>
  <c r="K309" i="4"/>
  <c r="K245" i="4"/>
  <c r="K181" i="4"/>
  <c r="K117" i="4"/>
  <c r="K53" i="4"/>
  <c r="K484" i="4"/>
  <c r="K420" i="4"/>
  <c r="K356" i="4"/>
  <c r="K292" i="4"/>
  <c r="K228" i="4"/>
  <c r="K118" i="4"/>
  <c r="K491" i="4"/>
  <c r="K427" i="4"/>
  <c r="K363" i="4"/>
  <c r="M363" i="4" s="1"/>
  <c r="K299" i="4"/>
  <c r="K235" i="4"/>
  <c r="K171" i="4"/>
  <c r="M171" i="4" s="1"/>
  <c r="K107" i="4"/>
  <c r="K43" i="4"/>
  <c r="K137" i="4"/>
  <c r="K73" i="4"/>
  <c r="K9" i="4"/>
  <c r="K112" i="4"/>
  <c r="M112" i="4" s="1"/>
  <c r="K48" i="4"/>
  <c r="K148" i="4"/>
  <c r="K84" i="4"/>
  <c r="K20" i="4"/>
  <c r="K114" i="4"/>
  <c r="M114" i="4" s="1"/>
  <c r="K50" i="4"/>
  <c r="K488" i="4"/>
  <c r="K424" i="4"/>
  <c r="K360" i="4"/>
  <c r="K296" i="4"/>
  <c r="M296" i="4" s="1"/>
  <c r="K232" i="4"/>
  <c r="M232" i="4" s="1"/>
  <c r="K8" i="4"/>
  <c r="K7" i="4"/>
  <c r="K407" i="4"/>
  <c r="K271" i="4"/>
  <c r="K494" i="4"/>
  <c r="K366" i="4"/>
  <c r="K238" i="4"/>
  <c r="K463" i="4"/>
  <c r="K327" i="4"/>
  <c r="K199" i="4"/>
  <c r="K111" i="4"/>
  <c r="K486" i="4"/>
  <c r="K358" i="4"/>
  <c r="M358" i="4" s="1"/>
  <c r="K230" i="4"/>
  <c r="M230" i="4" s="1"/>
  <c r="K450" i="4"/>
  <c r="M450" i="4" s="1"/>
  <c r="K330" i="4"/>
  <c r="M330" i="4" s="1"/>
  <c r="K178" i="4"/>
  <c r="K322" i="4"/>
  <c r="K202" i="4"/>
  <c r="K473" i="4"/>
  <c r="M473" i="4" s="1"/>
  <c r="K409" i="4"/>
  <c r="K345" i="4"/>
  <c r="M345" i="4" s="1"/>
  <c r="K281" i="4"/>
  <c r="M281" i="4" s="1"/>
  <c r="K217" i="4"/>
  <c r="M217" i="4" s="1"/>
  <c r="K110" i="4"/>
  <c r="K493" i="4"/>
  <c r="K429" i="4"/>
  <c r="K365" i="4"/>
  <c r="K301" i="4"/>
  <c r="K237" i="4"/>
  <c r="K173" i="4"/>
  <c r="K109" i="4"/>
  <c r="K45" i="4"/>
  <c r="K476" i="4"/>
  <c r="K412" i="4"/>
  <c r="K348" i="4"/>
  <c r="K284" i="4"/>
  <c r="K220" i="4"/>
  <c r="K102" i="4"/>
  <c r="M102" i="4" s="1"/>
  <c r="K483" i="4"/>
  <c r="K419" i="4"/>
  <c r="M419" i="4" s="1"/>
  <c r="K355" i="4"/>
  <c r="K291" i="4"/>
  <c r="K227" i="4"/>
  <c r="M227" i="4" s="1"/>
  <c r="K163" i="4"/>
  <c r="K99" i="4"/>
  <c r="M99" i="4" s="1"/>
  <c r="K35" i="4"/>
  <c r="K129" i="4"/>
  <c r="K65" i="4"/>
  <c r="K168" i="4"/>
  <c r="K104" i="4"/>
  <c r="K40" i="4"/>
  <c r="M40" i="4" s="1"/>
  <c r="K140" i="4"/>
  <c r="K76" i="4"/>
  <c r="M76" i="4" s="1"/>
  <c r="K12" i="4"/>
  <c r="M12" i="4" s="1"/>
  <c r="K106" i="4"/>
  <c r="K42" i="4"/>
  <c r="M42" i="4" s="1"/>
  <c r="K480" i="4"/>
  <c r="K472" i="4"/>
  <c r="K384" i="4"/>
  <c r="M384" i="4" s="1"/>
  <c r="K272" i="4"/>
  <c r="M272" i="4" s="1"/>
  <c r="K351" i="4"/>
  <c r="K471" i="4"/>
  <c r="K239" i="4"/>
  <c r="K414" i="4"/>
  <c r="K142" i="4"/>
  <c r="K311" i="4"/>
  <c r="M311" i="4" s="1"/>
  <c r="K151" i="4"/>
  <c r="M151" i="4" s="1"/>
  <c r="K454" i="4"/>
  <c r="K278" i="4"/>
  <c r="K498" i="4"/>
  <c r="K378" i="4"/>
  <c r="M378" i="4" s="1"/>
  <c r="K394" i="4"/>
  <c r="K194" i="4"/>
  <c r="K441" i="4"/>
  <c r="K329" i="4"/>
  <c r="K241" i="4"/>
  <c r="M241" i="4" s="1"/>
  <c r="K70" i="4"/>
  <c r="M70" i="4" s="1"/>
  <c r="K421" i="4"/>
  <c r="K333" i="4"/>
  <c r="K221" i="4"/>
  <c r="K133" i="4"/>
  <c r="K21" i="4"/>
  <c r="K404" i="4"/>
  <c r="K316" i="4"/>
  <c r="K204" i="4"/>
  <c r="K14" i="4"/>
  <c r="K395" i="4"/>
  <c r="K283" i="4"/>
  <c r="K195" i="4"/>
  <c r="K83" i="4"/>
  <c r="K153" i="4"/>
  <c r="M153" i="4" s="1"/>
  <c r="K41" i="4"/>
  <c r="K96" i="4"/>
  <c r="M96" i="4" s="1"/>
  <c r="K172" i="4"/>
  <c r="M172" i="4" s="1"/>
  <c r="K60" i="4"/>
  <c r="K130" i="4"/>
  <c r="K18" i="4"/>
  <c r="L457" i="4"/>
  <c r="Q457" i="4" s="1"/>
  <c r="L89" i="4"/>
  <c r="P89" i="4" s="1"/>
  <c r="L57" i="4"/>
  <c r="P57" i="4" s="1"/>
  <c r="L280" i="4"/>
  <c r="K464" i="4"/>
  <c r="M464" i="4" s="1"/>
  <c r="K352" i="4"/>
  <c r="M352" i="4" s="1"/>
  <c r="K264" i="4"/>
  <c r="K127" i="4"/>
  <c r="K455" i="4"/>
  <c r="K223" i="4"/>
  <c r="M223" i="4" s="1"/>
  <c r="K350" i="4"/>
  <c r="M350" i="4" s="1"/>
  <c r="K295" i="4"/>
  <c r="K143" i="4"/>
  <c r="K438" i="4"/>
  <c r="K214" i="4"/>
  <c r="K490" i="4"/>
  <c r="K306" i="4"/>
  <c r="K386" i="4"/>
  <c r="K186" i="4"/>
  <c r="K433" i="4"/>
  <c r="M433" i="4" s="1"/>
  <c r="K321" i="4"/>
  <c r="K209" i="4"/>
  <c r="M209" i="4" s="1"/>
  <c r="K54" i="4"/>
  <c r="K413" i="4"/>
  <c r="K325" i="4"/>
  <c r="K213" i="4"/>
  <c r="K101" i="4"/>
  <c r="K13" i="4"/>
  <c r="K396" i="4"/>
  <c r="K308" i="4"/>
  <c r="M308" i="4" s="1"/>
  <c r="K196" i="4"/>
  <c r="M196" i="4" s="1"/>
  <c r="K475" i="4"/>
  <c r="K387" i="4"/>
  <c r="K275" i="4"/>
  <c r="M275" i="4" s="1"/>
  <c r="K187" i="4"/>
  <c r="K75" i="4"/>
  <c r="K121" i="4"/>
  <c r="M121" i="4" s="1"/>
  <c r="K33" i="4"/>
  <c r="K88" i="4"/>
  <c r="K164" i="4"/>
  <c r="K52" i="4"/>
  <c r="K98" i="4"/>
  <c r="K10" i="4"/>
  <c r="M10" i="4" s="1"/>
  <c r="L451" i="4"/>
  <c r="P451" i="4" s="1"/>
  <c r="L403" i="4"/>
  <c r="P403" i="4" s="1"/>
  <c r="K456" i="4"/>
  <c r="K344" i="4"/>
  <c r="M344" i="4" s="1"/>
  <c r="K256" i="4"/>
  <c r="M256" i="4" s="1"/>
  <c r="K63" i="4"/>
  <c r="M63" i="4" s="1"/>
  <c r="K391" i="4"/>
  <c r="K207" i="4"/>
  <c r="K334" i="4"/>
  <c r="K279" i="4"/>
  <c r="M279" i="4" s="1"/>
  <c r="K103" i="4"/>
  <c r="K422" i="4"/>
  <c r="K198" i="4"/>
  <c r="M198" i="4" s="1"/>
  <c r="K482" i="4"/>
  <c r="M482" i="4" s="1"/>
  <c r="K290" i="4"/>
  <c r="K370" i="4"/>
  <c r="K170" i="4"/>
  <c r="K401" i="4"/>
  <c r="K313" i="4"/>
  <c r="K201" i="4"/>
  <c r="M201" i="4" s="1"/>
  <c r="K38" i="4"/>
  <c r="M38" i="4" s="1"/>
  <c r="K405" i="4"/>
  <c r="K293" i="4"/>
  <c r="K205" i="4"/>
  <c r="K93" i="4"/>
  <c r="K500" i="4"/>
  <c r="K388" i="4"/>
  <c r="K276" i="4"/>
  <c r="M276" i="4" s="1"/>
  <c r="K188" i="4"/>
  <c r="K467" i="4"/>
  <c r="M467" i="4" s="1"/>
  <c r="K379" i="4"/>
  <c r="K267" i="4"/>
  <c r="K155" i="4"/>
  <c r="K67" i="4"/>
  <c r="K113" i="4"/>
  <c r="M113" i="4" s="1"/>
  <c r="K25" i="4"/>
  <c r="M25" i="4" s="1"/>
  <c r="K80" i="4"/>
  <c r="M80" i="4" s="1"/>
  <c r="K132" i="4"/>
  <c r="M132" i="4" s="1"/>
  <c r="K44" i="4"/>
  <c r="K90" i="4"/>
  <c r="L305" i="4"/>
  <c r="P305" i="4" s="1"/>
  <c r="L273" i="4"/>
  <c r="Q273" i="4" s="1"/>
  <c r="L177" i="4"/>
  <c r="P177" i="4" s="1"/>
  <c r="K448" i="4"/>
  <c r="M448" i="4" s="1"/>
  <c r="K336" i="4"/>
  <c r="K224" i="4"/>
  <c r="K39" i="4"/>
  <c r="K375" i="4"/>
  <c r="K191" i="4"/>
  <c r="K318" i="4"/>
  <c r="K447" i="4"/>
  <c r="K263" i="4"/>
  <c r="K416" i="4"/>
  <c r="M416" i="4" s="1"/>
  <c r="K328" i="4"/>
  <c r="K216" i="4"/>
  <c r="K31" i="4"/>
  <c r="M31" i="4" s="1"/>
  <c r="K359" i="4"/>
  <c r="K478" i="4"/>
  <c r="K302" i="4"/>
  <c r="K431" i="4"/>
  <c r="K247" i="4"/>
  <c r="M247" i="4" s="1"/>
  <c r="K408" i="4"/>
  <c r="M408" i="4" s="1"/>
  <c r="K320" i="4"/>
  <c r="M320" i="4" s="1"/>
  <c r="K208" i="4"/>
  <c r="K400" i="4"/>
  <c r="M400" i="4" s="1"/>
  <c r="K288" i="4"/>
  <c r="M288" i="4" s="1"/>
  <c r="K200" i="4"/>
  <c r="K503" i="4"/>
  <c r="K319" i="4"/>
  <c r="M319" i="4" s="1"/>
  <c r="K446" i="4"/>
  <c r="K222" i="4"/>
  <c r="K399" i="4"/>
  <c r="K175" i="4"/>
  <c r="K71" i="4"/>
  <c r="K310" i="4"/>
  <c r="K418" i="4"/>
  <c r="K426" i="4"/>
  <c r="K266" i="4"/>
  <c r="M266" i="4" s="1"/>
  <c r="L326" i="4"/>
  <c r="L244" i="4"/>
  <c r="Q244" i="4" s="1"/>
  <c r="L82" i="4"/>
  <c r="P82" i="4" s="1"/>
  <c r="L105" i="4"/>
  <c r="P105" i="4" s="1"/>
  <c r="L161" i="4"/>
  <c r="Q161" i="4" s="1"/>
  <c r="K34" i="4"/>
  <c r="K36" i="4"/>
  <c r="M36" i="4" s="1"/>
  <c r="K32" i="4"/>
  <c r="K49" i="4"/>
  <c r="K27" i="4"/>
  <c r="M27" i="4" s="1"/>
  <c r="K211" i="4"/>
  <c r="M211" i="4" s="1"/>
  <c r="K347" i="4"/>
  <c r="K62" i="4"/>
  <c r="K324" i="4"/>
  <c r="K460" i="4"/>
  <c r="K149" i="4"/>
  <c r="K285" i="4"/>
  <c r="K469" i="4"/>
  <c r="K249" i="4"/>
  <c r="M249" i="4" s="1"/>
  <c r="K385" i="4"/>
  <c r="M385" i="4" s="1"/>
  <c r="K282" i="4"/>
  <c r="K434" i="4"/>
  <c r="K294" i="4"/>
  <c r="K159" i="4"/>
  <c r="M159" i="4" s="1"/>
  <c r="K430" i="4"/>
  <c r="K392" i="4"/>
  <c r="M392" i="4" s="1"/>
  <c r="P124" i="4"/>
  <c r="Q124" i="4"/>
  <c r="P69" i="4"/>
  <c r="Q69" i="4"/>
  <c r="P261" i="4"/>
  <c r="Q261" i="4"/>
  <c r="P136" i="4"/>
  <c r="Q136" i="4"/>
  <c r="P78" i="4"/>
  <c r="Q78" i="4"/>
  <c r="P72" i="4"/>
  <c r="Q72" i="4"/>
  <c r="P86" i="4"/>
  <c r="Q86" i="4"/>
  <c r="Q157" i="4"/>
  <c r="P157" i="4"/>
  <c r="P94" i="4"/>
  <c r="Q94" i="4"/>
  <c r="P144" i="4"/>
  <c r="Q144" i="4"/>
  <c r="P335" i="4"/>
  <c r="Q335" i="4"/>
  <c r="P128" i="4"/>
  <c r="Q128" i="4"/>
  <c r="L5" i="4"/>
  <c r="K25" i="1" l="1"/>
  <c r="J26" i="1"/>
  <c r="J30" i="1" s="1"/>
  <c r="E81" i="7" s="1"/>
  <c r="R462" i="4"/>
  <c r="S462" i="4" s="1"/>
  <c r="R229" i="4"/>
  <c r="S229" i="4" s="1"/>
  <c r="R332" i="4"/>
  <c r="S332" i="4" s="1"/>
  <c r="P323" i="4"/>
  <c r="R323" i="4" s="1"/>
  <c r="S323" i="4" s="1"/>
  <c r="P459" i="4"/>
  <c r="R459" i="4" s="1"/>
  <c r="S459" i="4" s="1"/>
  <c r="R341" i="4"/>
  <c r="S341" i="4" s="1"/>
  <c r="P465" i="4"/>
  <c r="R465" i="4" s="1"/>
  <c r="S465" i="4" s="1"/>
  <c r="P66" i="4"/>
  <c r="R66" i="4" s="1"/>
  <c r="S66" i="4" s="1"/>
  <c r="P77" i="4"/>
  <c r="R77" i="4" s="1"/>
  <c r="S77" i="4" s="1"/>
  <c r="Q138" i="4"/>
  <c r="R138" i="4" s="1"/>
  <c r="S138" i="4" s="1"/>
  <c r="P139" i="4"/>
  <c r="R139" i="4" s="1"/>
  <c r="S139" i="4" s="1"/>
  <c r="Q411" i="4"/>
  <c r="R411" i="4" s="1"/>
  <c r="S411" i="4" s="1"/>
  <c r="L489" i="4"/>
  <c r="P489" i="4" s="1"/>
  <c r="Q100" i="4"/>
  <c r="R100" i="4" s="1"/>
  <c r="S100" i="4" s="1"/>
  <c r="R468" i="4"/>
  <c r="S468" i="4" s="1"/>
  <c r="P443" i="4"/>
  <c r="R443" i="4" s="1"/>
  <c r="S443" i="4" s="1"/>
  <c r="Q251" i="4"/>
  <c r="R251" i="4" s="1"/>
  <c r="S251" i="4" s="1"/>
  <c r="L377" i="4"/>
  <c r="P377" i="4" s="1"/>
  <c r="P257" i="4"/>
  <c r="R257" i="4" s="1"/>
  <c r="S257" i="4" s="1"/>
  <c r="Q451" i="4"/>
  <c r="R451" i="4" s="1"/>
  <c r="S451" i="4" s="1"/>
  <c r="Q177" i="4"/>
  <c r="R177" i="4" s="1"/>
  <c r="S177" i="4" s="1"/>
  <c r="R64" i="4"/>
  <c r="S64" i="4" s="1"/>
  <c r="L467" i="4"/>
  <c r="Q467" i="4" s="1"/>
  <c r="Q131" i="4"/>
  <c r="R131" i="4" s="1"/>
  <c r="S131" i="4" s="1"/>
  <c r="L38" i="4"/>
  <c r="P38" i="4" s="1"/>
  <c r="L198" i="4"/>
  <c r="Q198" i="4" s="1"/>
  <c r="L134" i="4"/>
  <c r="Q134" i="4" s="1"/>
  <c r="R252" i="4"/>
  <c r="S252" i="4" s="1"/>
  <c r="R116" i="4"/>
  <c r="S116" i="4" s="1"/>
  <c r="L63" i="4"/>
  <c r="P63" i="4" s="1"/>
  <c r="L172" i="4"/>
  <c r="P172" i="4" s="1"/>
  <c r="P68" i="4"/>
  <c r="R68" i="4" s="1"/>
  <c r="S68" i="4" s="1"/>
  <c r="P91" i="4"/>
  <c r="R91" i="4" s="1"/>
  <c r="S91" i="4" s="1"/>
  <c r="L42" i="4"/>
  <c r="P42" i="4" s="1"/>
  <c r="L152" i="4"/>
  <c r="Q152" i="4" s="1"/>
  <c r="Q219" i="4"/>
  <c r="R219" i="4" s="1"/>
  <c r="S219" i="4" s="1"/>
  <c r="L400" i="4"/>
  <c r="Q400" i="4" s="1"/>
  <c r="L296" i="4"/>
  <c r="Q296" i="4" s="1"/>
  <c r="L473" i="4"/>
  <c r="P473" i="4" s="1"/>
  <c r="L449" i="4"/>
  <c r="Q449" i="4" s="1"/>
  <c r="Q393" i="4"/>
  <c r="R393" i="4" s="1"/>
  <c r="S393" i="4" s="1"/>
  <c r="Q403" i="4"/>
  <c r="R403" i="4" s="1"/>
  <c r="S403" i="4" s="1"/>
  <c r="L433" i="4"/>
  <c r="P433" i="4" s="1"/>
  <c r="L256" i="4"/>
  <c r="Q256" i="4" s="1"/>
  <c r="R487" i="4"/>
  <c r="S487" i="4" s="1"/>
  <c r="L223" i="4"/>
  <c r="P223" i="4" s="1"/>
  <c r="Q410" i="4"/>
  <c r="R410" i="4" s="1"/>
  <c r="S410" i="4" s="1"/>
  <c r="L281" i="4"/>
  <c r="P281" i="4" s="1"/>
  <c r="R406" i="4"/>
  <c r="S406" i="4" s="1"/>
  <c r="Q146" i="4"/>
  <c r="R146" i="4" s="1"/>
  <c r="S146" i="4" s="1"/>
  <c r="Q59" i="4"/>
  <c r="R59" i="4" s="1"/>
  <c r="S59" i="4" s="1"/>
  <c r="P212" i="4"/>
  <c r="R212" i="4" s="1"/>
  <c r="S212" i="4" s="1"/>
  <c r="L31" i="4"/>
  <c r="P31" i="4" s="1"/>
  <c r="L179" i="4"/>
  <c r="P179" i="4" s="1"/>
  <c r="L440" i="4"/>
  <c r="L243" i="4"/>
  <c r="P243" i="4" s="1"/>
  <c r="L368" i="4"/>
  <c r="L450" i="4"/>
  <c r="L12" i="4"/>
  <c r="P12" i="4" s="1"/>
  <c r="P273" i="4"/>
  <c r="R273" i="4" s="1"/>
  <c r="S273" i="4" s="1"/>
  <c r="Q37" i="4"/>
  <c r="R37" i="4" s="1"/>
  <c r="S37" i="4" s="1"/>
  <c r="L272" i="4"/>
  <c r="P272" i="4" s="1"/>
  <c r="L417" i="4"/>
  <c r="L385" i="4"/>
  <c r="P97" i="4"/>
  <c r="R97" i="4" s="1"/>
  <c r="S97" i="4" s="1"/>
  <c r="Q242" i="4"/>
  <c r="R242" i="4" s="1"/>
  <c r="S242" i="4" s="1"/>
  <c r="Q337" i="4"/>
  <c r="R337" i="4" s="1"/>
  <c r="S337" i="4" s="1"/>
  <c r="P457" i="4"/>
  <c r="R457" i="4" s="1"/>
  <c r="S457" i="4" s="1"/>
  <c r="L288" i="4"/>
  <c r="L112" i="4"/>
  <c r="Q112" i="4" s="1"/>
  <c r="L185" i="4"/>
  <c r="Q185" i="4" s="1"/>
  <c r="L19" i="4"/>
  <c r="P19" i="4" s="1"/>
  <c r="Q258" i="4"/>
  <c r="R258" i="4" s="1"/>
  <c r="S258" i="4" s="1"/>
  <c r="P298" i="4"/>
  <c r="R298" i="4" s="1"/>
  <c r="S298" i="4" s="1"/>
  <c r="Q74" i="4"/>
  <c r="R74" i="4" s="1"/>
  <c r="S74" i="4" s="1"/>
  <c r="L81" i="4"/>
  <c r="Q81" i="4" s="1"/>
  <c r="L339" i="4"/>
  <c r="L40" i="4"/>
  <c r="P40" i="4" s="1"/>
  <c r="L464" i="4"/>
  <c r="L392" i="4"/>
  <c r="P392" i="4" s="1"/>
  <c r="L255" i="4"/>
  <c r="L113" i="4"/>
  <c r="Q113" i="4" s="1"/>
  <c r="R108" i="4"/>
  <c r="S108" i="4" s="1"/>
  <c r="L10" i="4"/>
  <c r="L384" i="4"/>
  <c r="Q384" i="4" s="1"/>
  <c r="L352" i="4"/>
  <c r="P352" i="4" s="1"/>
  <c r="L363" i="4"/>
  <c r="P363" i="4" s="1"/>
  <c r="P244" i="4"/>
  <c r="R244" i="4" s="1"/>
  <c r="S244" i="4" s="1"/>
  <c r="P183" i="4"/>
  <c r="R183" i="4" s="1"/>
  <c r="S183" i="4" s="1"/>
  <c r="Q315" i="4"/>
  <c r="R315" i="4" s="1"/>
  <c r="S315" i="4" s="1"/>
  <c r="L99" i="4"/>
  <c r="L70" i="4"/>
  <c r="L27" i="4"/>
  <c r="Q27" i="4" s="1"/>
  <c r="L120" i="4"/>
  <c r="P120" i="4" s="1"/>
  <c r="L217" i="4"/>
  <c r="Q217" i="4" s="1"/>
  <c r="L276" i="4"/>
  <c r="L402" i="4"/>
  <c r="P402" i="4" s="1"/>
  <c r="L279" i="4"/>
  <c r="P279" i="4" s="1"/>
  <c r="L25" i="4"/>
  <c r="L55" i="4"/>
  <c r="Q82" i="4"/>
  <c r="R82" i="4" s="1"/>
  <c r="S82" i="4" s="1"/>
  <c r="L230" i="4"/>
  <c r="L345" i="4"/>
  <c r="P345" i="4" s="1"/>
  <c r="Q442" i="4"/>
  <c r="R442" i="4" s="1"/>
  <c r="S442" i="4" s="1"/>
  <c r="Q57" i="4"/>
  <c r="R57" i="4" s="1"/>
  <c r="S57" i="4" s="1"/>
  <c r="Q305" i="4"/>
  <c r="R305" i="4" s="1"/>
  <c r="S305" i="4" s="1"/>
  <c r="Q105" i="4"/>
  <c r="R105" i="4" s="1"/>
  <c r="S105" i="4" s="1"/>
  <c r="L192" i="4"/>
  <c r="L378" i="4"/>
  <c r="L232" i="4"/>
  <c r="L209" i="4"/>
  <c r="L275" i="4"/>
  <c r="L416" i="4"/>
  <c r="R197" i="4"/>
  <c r="S197" i="4" s="1"/>
  <c r="R436" i="4"/>
  <c r="S436" i="4" s="1"/>
  <c r="L308" i="4"/>
  <c r="Q308" i="4" s="1"/>
  <c r="R415" i="4"/>
  <c r="S415" i="4" s="1"/>
  <c r="R380" i="4"/>
  <c r="S380" i="4" s="1"/>
  <c r="L435" i="4"/>
  <c r="L338" i="4"/>
  <c r="L319" i="4"/>
  <c r="P319" i="4" s="1"/>
  <c r="L241" i="4"/>
  <c r="P241" i="4" s="1"/>
  <c r="L307" i="4"/>
  <c r="L121" i="4"/>
  <c r="L226" i="4"/>
  <c r="L344" i="4"/>
  <c r="L211" i="4"/>
  <c r="Q211" i="4" s="1"/>
  <c r="L76" i="4"/>
  <c r="Q123" i="4"/>
  <c r="R123" i="4" s="1"/>
  <c r="S123" i="4" s="1"/>
  <c r="L481" i="4"/>
  <c r="L171" i="4"/>
  <c r="Q171" i="4" s="1"/>
  <c r="L266" i="4"/>
  <c r="P266" i="4" s="1"/>
  <c r="L102" i="4"/>
  <c r="L432" i="4"/>
  <c r="L153" i="4"/>
  <c r="L448" i="4"/>
  <c r="P448" i="4" s="1"/>
  <c r="L114" i="4"/>
  <c r="P114" i="4" s="1"/>
  <c r="L240" i="4"/>
  <c r="Q240" i="4" s="1"/>
  <c r="M164" i="4"/>
  <c r="L164" i="4"/>
  <c r="M127" i="4"/>
  <c r="L127" i="4"/>
  <c r="M314" i="4"/>
  <c r="L314" i="4"/>
  <c r="L180" i="4"/>
  <c r="M180" i="4"/>
  <c r="M155" i="4"/>
  <c r="L155" i="4"/>
  <c r="L88" i="4"/>
  <c r="M88" i="4"/>
  <c r="L214" i="4"/>
  <c r="M214" i="4"/>
  <c r="M141" i="4"/>
  <c r="L141" i="4"/>
  <c r="L24" i="4"/>
  <c r="M24" i="4"/>
  <c r="M369" i="4"/>
  <c r="L369" i="4"/>
  <c r="M331" i="4"/>
  <c r="L331" i="4"/>
  <c r="L196" i="4"/>
  <c r="P161" i="4"/>
  <c r="R161" i="4" s="1"/>
  <c r="S161" i="4" s="1"/>
  <c r="L122" i="4"/>
  <c r="M90" i="4"/>
  <c r="L90" i="4"/>
  <c r="M267" i="4"/>
  <c r="L267" i="4"/>
  <c r="M205" i="4"/>
  <c r="L205" i="4"/>
  <c r="M370" i="4"/>
  <c r="L370" i="4"/>
  <c r="L207" i="4"/>
  <c r="M207" i="4"/>
  <c r="M41" i="4"/>
  <c r="L41" i="4"/>
  <c r="L316" i="4"/>
  <c r="M316" i="4"/>
  <c r="L454" i="4"/>
  <c r="M454" i="4"/>
  <c r="M140" i="4"/>
  <c r="L140" i="4"/>
  <c r="M163" i="4"/>
  <c r="L163" i="4"/>
  <c r="L284" i="4"/>
  <c r="M284" i="4"/>
  <c r="L301" i="4"/>
  <c r="M301" i="4"/>
  <c r="M409" i="4"/>
  <c r="L409" i="4"/>
  <c r="L494" i="4"/>
  <c r="M494" i="4"/>
  <c r="M424" i="4"/>
  <c r="L424" i="4"/>
  <c r="L299" i="4"/>
  <c r="M299" i="4"/>
  <c r="L420" i="4"/>
  <c r="M420" i="4"/>
  <c r="L437" i="4"/>
  <c r="M437" i="4"/>
  <c r="M218" i="4"/>
  <c r="L218" i="4"/>
  <c r="L502" i="4"/>
  <c r="M502" i="4"/>
  <c r="L287" i="4"/>
  <c r="M287" i="4"/>
  <c r="M17" i="4"/>
  <c r="L17" i="4"/>
  <c r="M371" i="4"/>
  <c r="L371" i="4"/>
  <c r="L492" i="4"/>
  <c r="M492" i="4"/>
  <c r="M22" i="4"/>
  <c r="L22" i="4"/>
  <c r="L354" i="4"/>
  <c r="M354" i="4"/>
  <c r="L135" i="4"/>
  <c r="M135" i="4"/>
  <c r="L439" i="4"/>
  <c r="M439" i="4"/>
  <c r="M190" i="4"/>
  <c r="L190" i="4"/>
  <c r="L452" i="4"/>
  <c r="M452" i="4"/>
  <c r="M162" i="4"/>
  <c r="L162" i="4"/>
  <c r="L350" i="4"/>
  <c r="L79" i="4"/>
  <c r="M79" i="4"/>
  <c r="M265" i="4"/>
  <c r="L265" i="4"/>
  <c r="P477" i="4"/>
  <c r="Q477" i="4"/>
  <c r="R372" i="4"/>
  <c r="S372" i="4" s="1"/>
  <c r="R397" i="4"/>
  <c r="S397" i="4" s="1"/>
  <c r="L320" i="4"/>
  <c r="M166" i="4"/>
  <c r="L166" i="4"/>
  <c r="L485" i="4"/>
  <c r="M485" i="4"/>
  <c r="Q357" i="4"/>
  <c r="P357" i="4"/>
  <c r="L184" i="4"/>
  <c r="L36" i="4"/>
  <c r="L62" i="4"/>
  <c r="M62" i="4"/>
  <c r="L475" i="4"/>
  <c r="M475" i="4"/>
  <c r="M6" i="4"/>
  <c r="L6" i="4"/>
  <c r="L170" i="4"/>
  <c r="M170" i="4"/>
  <c r="L54" i="4"/>
  <c r="M54" i="4"/>
  <c r="L71" i="4"/>
  <c r="M71" i="4"/>
  <c r="M318" i="4"/>
  <c r="L318" i="4"/>
  <c r="M44" i="4"/>
  <c r="L44" i="4"/>
  <c r="L290" i="4"/>
  <c r="M290" i="4"/>
  <c r="L285" i="4"/>
  <c r="M285" i="4"/>
  <c r="P280" i="4"/>
  <c r="Q280" i="4"/>
  <c r="L83" i="4"/>
  <c r="M83" i="4"/>
  <c r="M441" i="4"/>
  <c r="L441" i="4"/>
  <c r="M104" i="4"/>
  <c r="L104" i="4"/>
  <c r="L429" i="4"/>
  <c r="M429" i="4"/>
  <c r="L407" i="4"/>
  <c r="M407" i="4"/>
  <c r="M427" i="4"/>
  <c r="L427" i="4"/>
  <c r="L210" i="4"/>
  <c r="M210" i="4"/>
  <c r="L125" i="4"/>
  <c r="M125" i="4"/>
  <c r="L362" i="4"/>
  <c r="M362" i="4"/>
  <c r="L399" i="4"/>
  <c r="M399" i="4"/>
  <c r="M208" i="4"/>
  <c r="L208" i="4"/>
  <c r="L375" i="4"/>
  <c r="M375" i="4"/>
  <c r="M187" i="4"/>
  <c r="L187" i="4"/>
  <c r="L101" i="4"/>
  <c r="M101" i="4"/>
  <c r="M186" i="4"/>
  <c r="L186" i="4"/>
  <c r="M18" i="4"/>
  <c r="L18" i="4"/>
  <c r="L195" i="4"/>
  <c r="M195" i="4"/>
  <c r="L133" i="4"/>
  <c r="M133" i="4"/>
  <c r="M194" i="4"/>
  <c r="L194" i="4"/>
  <c r="L142" i="4"/>
  <c r="M142" i="4"/>
  <c r="L480" i="4"/>
  <c r="M480" i="4"/>
  <c r="M168" i="4"/>
  <c r="L168" i="4"/>
  <c r="L355" i="4"/>
  <c r="M355" i="4"/>
  <c r="L476" i="4"/>
  <c r="M476" i="4"/>
  <c r="L493" i="4"/>
  <c r="M493" i="4"/>
  <c r="L322" i="4"/>
  <c r="M322" i="4"/>
  <c r="L199" i="4"/>
  <c r="M199" i="4"/>
  <c r="L7" i="4"/>
  <c r="M7" i="4"/>
  <c r="L137" i="4"/>
  <c r="M137" i="4"/>
  <c r="L491" i="4"/>
  <c r="M491" i="4"/>
  <c r="L117" i="4"/>
  <c r="M117" i="4"/>
  <c r="M225" i="4"/>
  <c r="L225" i="4"/>
  <c r="M346" i="4"/>
  <c r="L346" i="4"/>
  <c r="L343" i="4"/>
  <c r="M343" i="4"/>
  <c r="L28" i="4"/>
  <c r="M28" i="4"/>
  <c r="M51" i="4"/>
  <c r="L51" i="4"/>
  <c r="L189" i="4"/>
  <c r="M189" i="4"/>
  <c r="M297" i="4"/>
  <c r="L297" i="4"/>
  <c r="L466" i="4"/>
  <c r="M466" i="4"/>
  <c r="L495" i="4"/>
  <c r="M495" i="4"/>
  <c r="M248" i="4"/>
  <c r="L248" i="4"/>
  <c r="L419" i="4"/>
  <c r="M282" i="4"/>
  <c r="L282" i="4"/>
  <c r="Q326" i="4"/>
  <c r="P326" i="4"/>
  <c r="M490" i="4"/>
  <c r="L490" i="4"/>
  <c r="L334" i="4"/>
  <c r="M334" i="4"/>
  <c r="L478" i="4"/>
  <c r="M478" i="4"/>
  <c r="M379" i="4"/>
  <c r="L379" i="4"/>
  <c r="L391" i="4"/>
  <c r="M391" i="4"/>
  <c r="M49" i="4"/>
  <c r="L49" i="4"/>
  <c r="L95" i="4"/>
  <c r="M291" i="4"/>
  <c r="L291" i="4"/>
  <c r="M202" i="4"/>
  <c r="L202" i="4"/>
  <c r="L73" i="4"/>
  <c r="M73" i="4"/>
  <c r="M126" i="4"/>
  <c r="L126" i="4"/>
  <c r="L15" i="4"/>
  <c r="M15" i="4"/>
  <c r="M499" i="4"/>
  <c r="L499" i="4"/>
  <c r="Q89" i="4"/>
  <c r="R89" i="4" s="1"/>
  <c r="S89" i="4" s="1"/>
  <c r="P259" i="4"/>
  <c r="R259" i="4" s="1"/>
  <c r="S259" i="4" s="1"/>
  <c r="L294" i="4"/>
  <c r="M294" i="4"/>
  <c r="L460" i="4"/>
  <c r="M460" i="4"/>
  <c r="L222" i="4"/>
  <c r="M222" i="4"/>
  <c r="M216" i="4"/>
  <c r="L216" i="4"/>
  <c r="L39" i="4"/>
  <c r="M39" i="4"/>
  <c r="L496" i="4"/>
  <c r="M130" i="4"/>
  <c r="L130" i="4"/>
  <c r="M283" i="4"/>
  <c r="L283" i="4"/>
  <c r="L221" i="4"/>
  <c r="M221" i="4"/>
  <c r="L394" i="4"/>
  <c r="M394" i="4"/>
  <c r="L414" i="4"/>
  <c r="M414" i="4"/>
  <c r="M65" i="4"/>
  <c r="L65" i="4"/>
  <c r="M45" i="4"/>
  <c r="L45" i="4"/>
  <c r="L110" i="4"/>
  <c r="M110" i="4"/>
  <c r="L178" i="4"/>
  <c r="M178" i="4"/>
  <c r="L327" i="4"/>
  <c r="M327" i="4"/>
  <c r="L8" i="4"/>
  <c r="M8" i="4"/>
  <c r="M20" i="4"/>
  <c r="L20" i="4"/>
  <c r="L43" i="4"/>
  <c r="M43" i="4"/>
  <c r="L118" i="4"/>
  <c r="M118" i="4"/>
  <c r="L181" i="4"/>
  <c r="M181" i="4"/>
  <c r="L289" i="4"/>
  <c r="M289" i="4"/>
  <c r="M458" i="4"/>
  <c r="L458" i="4"/>
  <c r="L479" i="4"/>
  <c r="M479" i="4"/>
  <c r="L92" i="4"/>
  <c r="M92" i="4"/>
  <c r="L115" i="4"/>
  <c r="M115" i="4"/>
  <c r="L236" i="4"/>
  <c r="M236" i="4"/>
  <c r="L253" i="4"/>
  <c r="M253" i="4"/>
  <c r="M361" i="4"/>
  <c r="L361" i="4"/>
  <c r="L158" i="4"/>
  <c r="M158" i="4"/>
  <c r="L270" i="4"/>
  <c r="M270" i="4"/>
  <c r="M312" i="4"/>
  <c r="L312" i="4"/>
  <c r="Q497" i="4"/>
  <c r="P497" i="4"/>
  <c r="L182" i="4"/>
  <c r="M182" i="4"/>
  <c r="L444" i="4"/>
  <c r="M444" i="4"/>
  <c r="M154" i="4"/>
  <c r="L154" i="4"/>
  <c r="L311" i="4"/>
  <c r="L413" i="4"/>
  <c r="M413" i="4"/>
  <c r="L30" i="4"/>
  <c r="M30" i="4"/>
  <c r="L93" i="4"/>
  <c r="M93" i="4"/>
  <c r="M264" i="4"/>
  <c r="L264" i="4"/>
  <c r="L293" i="4"/>
  <c r="M293" i="4"/>
  <c r="L430" i="4"/>
  <c r="M430" i="4"/>
  <c r="L21" i="4"/>
  <c r="M21" i="4"/>
  <c r="L472" i="4"/>
  <c r="M472" i="4"/>
  <c r="L412" i="4"/>
  <c r="M412" i="4"/>
  <c r="L111" i="4"/>
  <c r="M111" i="4"/>
  <c r="M50" i="4"/>
  <c r="L50" i="4"/>
  <c r="L53" i="4"/>
  <c r="M53" i="4"/>
  <c r="M215" i="4"/>
  <c r="L215" i="4"/>
  <c r="M145" i="4"/>
  <c r="L145" i="4"/>
  <c r="L233" i="4"/>
  <c r="M233" i="4"/>
  <c r="L367" i="4"/>
  <c r="M367" i="4"/>
  <c r="L434" i="4"/>
  <c r="M434" i="4"/>
  <c r="L324" i="4"/>
  <c r="M324" i="4"/>
  <c r="L34" i="4"/>
  <c r="M34" i="4"/>
  <c r="L358" i="4"/>
  <c r="L446" i="4"/>
  <c r="M446" i="4"/>
  <c r="L328" i="4"/>
  <c r="M328" i="4"/>
  <c r="M224" i="4"/>
  <c r="L224" i="4"/>
  <c r="L388" i="4"/>
  <c r="M388" i="4"/>
  <c r="M313" i="4"/>
  <c r="L313" i="4"/>
  <c r="L103" i="4"/>
  <c r="M103" i="4"/>
  <c r="M456" i="4"/>
  <c r="L456" i="4"/>
  <c r="M52" i="4"/>
  <c r="L52" i="4"/>
  <c r="M387" i="4"/>
  <c r="L387" i="4"/>
  <c r="L325" i="4"/>
  <c r="M325" i="4"/>
  <c r="M306" i="4"/>
  <c r="L306" i="4"/>
  <c r="L455" i="4"/>
  <c r="M455" i="4"/>
  <c r="L176" i="4"/>
  <c r="L461" i="4"/>
  <c r="M461" i="4"/>
  <c r="L408" i="4"/>
  <c r="L149" i="4"/>
  <c r="M149" i="4"/>
  <c r="M32" i="4"/>
  <c r="L32" i="4"/>
  <c r="L175" i="4"/>
  <c r="M175" i="4"/>
  <c r="L359" i="4"/>
  <c r="M359" i="4"/>
  <c r="L191" i="4"/>
  <c r="M191" i="4"/>
  <c r="M67" i="4"/>
  <c r="L67" i="4"/>
  <c r="L500" i="4"/>
  <c r="M500" i="4"/>
  <c r="M401" i="4"/>
  <c r="L401" i="4"/>
  <c r="M98" i="4"/>
  <c r="L98" i="4"/>
  <c r="L213" i="4"/>
  <c r="M213" i="4"/>
  <c r="M386" i="4"/>
  <c r="L386" i="4"/>
  <c r="L404" i="4"/>
  <c r="M404" i="4"/>
  <c r="M329" i="4"/>
  <c r="L329" i="4"/>
  <c r="L348" i="4"/>
  <c r="M348" i="4"/>
  <c r="L365" i="4"/>
  <c r="M365" i="4"/>
  <c r="L486" i="4"/>
  <c r="M486" i="4"/>
  <c r="L271" i="4"/>
  <c r="M271" i="4"/>
  <c r="L488" i="4"/>
  <c r="M488" i="4"/>
  <c r="M9" i="4"/>
  <c r="L9" i="4"/>
  <c r="L484" i="4"/>
  <c r="M484" i="4"/>
  <c r="L501" i="4"/>
  <c r="M501" i="4"/>
  <c r="L119" i="4"/>
  <c r="M119" i="4"/>
  <c r="L423" i="4"/>
  <c r="M423" i="4"/>
  <c r="M58" i="4"/>
  <c r="L58" i="4"/>
  <c r="L61" i="4"/>
  <c r="M61" i="4"/>
  <c r="M169" i="4"/>
  <c r="L169" i="4"/>
  <c r="L231" i="4"/>
  <c r="M231" i="4"/>
  <c r="L23" i="4"/>
  <c r="M23" i="4"/>
  <c r="L286" i="4"/>
  <c r="M286" i="4"/>
  <c r="M277" i="4"/>
  <c r="L277" i="4"/>
  <c r="M160" i="4"/>
  <c r="L160" i="4"/>
  <c r="L201" i="4"/>
  <c r="M274" i="4"/>
  <c r="L274" i="4"/>
  <c r="L260" i="4"/>
  <c r="M260" i="4"/>
  <c r="L96" i="4"/>
  <c r="L80" i="4"/>
  <c r="L174" i="4"/>
  <c r="M174" i="4"/>
  <c r="Q389" i="4"/>
  <c r="P389" i="4"/>
  <c r="L268" i="4"/>
  <c r="M268" i="4"/>
  <c r="M26" i="4"/>
  <c r="L26" i="4"/>
  <c r="L482" i="4"/>
  <c r="L147" i="4"/>
  <c r="M147" i="4"/>
  <c r="L330" i="4"/>
  <c r="L247" i="4"/>
  <c r="L349" i="4"/>
  <c r="M349" i="4"/>
  <c r="M347" i="4"/>
  <c r="L347" i="4"/>
  <c r="L426" i="4"/>
  <c r="M426" i="4"/>
  <c r="M336" i="4"/>
  <c r="L336" i="4"/>
  <c r="L405" i="4"/>
  <c r="M405" i="4"/>
  <c r="L33" i="4"/>
  <c r="M33" i="4"/>
  <c r="L438" i="4"/>
  <c r="M438" i="4"/>
  <c r="L249" i="4"/>
  <c r="L60" i="4"/>
  <c r="M60" i="4"/>
  <c r="L395" i="4"/>
  <c r="M395" i="4"/>
  <c r="L333" i="4"/>
  <c r="M333" i="4"/>
  <c r="L239" i="4"/>
  <c r="M239" i="4"/>
  <c r="L106" i="4"/>
  <c r="M106" i="4"/>
  <c r="M129" i="4"/>
  <c r="L129" i="4"/>
  <c r="M483" i="4"/>
  <c r="L483" i="4"/>
  <c r="M109" i="4"/>
  <c r="L109" i="4"/>
  <c r="L463" i="4"/>
  <c r="M463" i="4"/>
  <c r="M84" i="4"/>
  <c r="L84" i="4"/>
  <c r="M107" i="4"/>
  <c r="L107" i="4"/>
  <c r="L228" i="4"/>
  <c r="M228" i="4"/>
  <c r="L245" i="4"/>
  <c r="M245" i="4"/>
  <c r="M353" i="4"/>
  <c r="L353" i="4"/>
  <c r="L150" i="4"/>
  <c r="M150" i="4"/>
  <c r="M254" i="4"/>
  <c r="L254" i="4"/>
  <c r="L304" i="4"/>
  <c r="M304" i="4"/>
  <c r="L156" i="4"/>
  <c r="M156" i="4"/>
  <c r="L300" i="4"/>
  <c r="M300" i="4"/>
  <c r="L317" i="4"/>
  <c r="M317" i="4"/>
  <c r="L262" i="4"/>
  <c r="M262" i="4"/>
  <c r="L398" i="4"/>
  <c r="M398" i="4"/>
  <c r="L376" i="4"/>
  <c r="M376" i="4"/>
  <c r="M250" i="4"/>
  <c r="L250" i="4"/>
  <c r="L46" i="4"/>
  <c r="M46" i="4"/>
  <c r="L453" i="4"/>
  <c r="M453" i="4"/>
  <c r="L11" i="4"/>
  <c r="M11" i="4"/>
  <c r="L132" i="4"/>
  <c r="L383" i="4"/>
  <c r="M383" i="4"/>
  <c r="L165" i="4"/>
  <c r="M165" i="4"/>
  <c r="L159" i="4"/>
  <c r="M418" i="4"/>
  <c r="L418" i="4"/>
  <c r="L503" i="4"/>
  <c r="M503" i="4"/>
  <c r="L431" i="4"/>
  <c r="M431" i="4"/>
  <c r="L263" i="4"/>
  <c r="M263" i="4"/>
  <c r="L188" i="4"/>
  <c r="M188" i="4"/>
  <c r="L396" i="4"/>
  <c r="M396" i="4"/>
  <c r="M321" i="4"/>
  <c r="L321" i="4"/>
  <c r="L143" i="4"/>
  <c r="M143" i="4"/>
  <c r="L14" i="4"/>
  <c r="M14" i="4"/>
  <c r="L421" i="4"/>
  <c r="M421" i="4"/>
  <c r="L498" i="4"/>
  <c r="M498" i="4"/>
  <c r="L471" i="4"/>
  <c r="M471" i="4"/>
  <c r="M35" i="4"/>
  <c r="L35" i="4"/>
  <c r="L173" i="4"/>
  <c r="M173" i="4"/>
  <c r="L238" i="4"/>
  <c r="M238" i="4"/>
  <c r="M148" i="4"/>
  <c r="L148" i="4"/>
  <c r="M292" i="4"/>
  <c r="L292" i="4"/>
  <c r="L309" i="4"/>
  <c r="M309" i="4"/>
  <c r="L246" i="4"/>
  <c r="M246" i="4"/>
  <c r="L382" i="4"/>
  <c r="M382" i="4"/>
  <c r="L56" i="4"/>
  <c r="M56" i="4"/>
  <c r="L364" i="4"/>
  <c r="M364" i="4"/>
  <c r="L381" i="4"/>
  <c r="M381" i="4"/>
  <c r="L390" i="4"/>
  <c r="M390" i="4"/>
  <c r="L167" i="4"/>
  <c r="M167" i="4"/>
  <c r="L425" i="4"/>
  <c r="L206" i="4"/>
  <c r="M206" i="4"/>
  <c r="L269" i="4"/>
  <c r="M269" i="4"/>
  <c r="L342" i="4"/>
  <c r="M342" i="4"/>
  <c r="L29" i="4"/>
  <c r="M29" i="4"/>
  <c r="L469" i="4"/>
  <c r="M469" i="4"/>
  <c r="L227" i="4"/>
  <c r="L310" i="4"/>
  <c r="M310" i="4"/>
  <c r="L200" i="4"/>
  <c r="M200" i="4"/>
  <c r="L302" i="4"/>
  <c r="M302" i="4"/>
  <c r="L447" i="4"/>
  <c r="M447" i="4"/>
  <c r="L422" i="4"/>
  <c r="M422" i="4"/>
  <c r="L75" i="4"/>
  <c r="M75" i="4"/>
  <c r="M13" i="4"/>
  <c r="L13" i="4"/>
  <c r="L295" i="4"/>
  <c r="M295" i="4"/>
  <c r="L204" i="4"/>
  <c r="M204" i="4"/>
  <c r="L278" i="4"/>
  <c r="M278" i="4"/>
  <c r="L351" i="4"/>
  <c r="M351" i="4"/>
  <c r="L220" i="4"/>
  <c r="M220" i="4"/>
  <c r="M237" i="4"/>
  <c r="L237" i="4"/>
  <c r="L366" i="4"/>
  <c r="M366" i="4"/>
  <c r="L360" i="4"/>
  <c r="M360" i="4"/>
  <c r="M48" i="4"/>
  <c r="L48" i="4"/>
  <c r="M235" i="4"/>
  <c r="L235" i="4"/>
  <c r="L356" i="4"/>
  <c r="M356" i="4"/>
  <c r="L373" i="4"/>
  <c r="M373" i="4"/>
  <c r="L374" i="4"/>
  <c r="M374" i="4"/>
  <c r="L428" i="4"/>
  <c r="M428" i="4"/>
  <c r="L445" i="4"/>
  <c r="M445" i="4"/>
  <c r="M234" i="4"/>
  <c r="L234" i="4"/>
  <c r="L47" i="4"/>
  <c r="M47" i="4"/>
  <c r="L303" i="4"/>
  <c r="M303" i="4"/>
  <c r="M504" i="4"/>
  <c r="L504" i="4"/>
  <c r="L193" i="4"/>
  <c r="M193" i="4"/>
  <c r="L203" i="4"/>
  <c r="M203" i="4"/>
  <c r="L87" i="4"/>
  <c r="M87" i="4"/>
  <c r="L85" i="4"/>
  <c r="M85" i="4"/>
  <c r="M16" i="4"/>
  <c r="L16" i="4"/>
  <c r="L151" i="4"/>
  <c r="Q470" i="4"/>
  <c r="P470" i="4"/>
  <c r="M474" i="4"/>
  <c r="L474" i="4"/>
  <c r="L340" i="4"/>
  <c r="M340" i="4"/>
  <c r="P5" i="4"/>
  <c r="Q5" i="4"/>
  <c r="R124" i="4"/>
  <c r="S124" i="4" s="1"/>
  <c r="R136" i="4"/>
  <c r="S136" i="4" s="1"/>
  <c r="R69" i="4"/>
  <c r="S69" i="4" s="1"/>
  <c r="R157" i="4"/>
  <c r="S157" i="4" s="1"/>
  <c r="R261" i="4"/>
  <c r="S261" i="4" s="1"/>
  <c r="R72" i="4"/>
  <c r="S72" i="4" s="1"/>
  <c r="R128" i="4"/>
  <c r="S128" i="4" s="1"/>
  <c r="R144" i="4"/>
  <c r="S144" i="4" s="1"/>
  <c r="R78" i="4"/>
  <c r="S78" i="4" s="1"/>
  <c r="R335" i="4"/>
  <c r="S335" i="4" s="1"/>
  <c r="R86" i="4"/>
  <c r="S86" i="4" s="1"/>
  <c r="R94" i="4"/>
  <c r="S94" i="4" s="1"/>
  <c r="Q377" i="4" l="1"/>
  <c r="R377" i="4" s="1"/>
  <c r="S377" i="4" s="1"/>
  <c r="Q489" i="4"/>
  <c r="R489" i="4" s="1"/>
  <c r="S489" i="4" s="1"/>
  <c r="P134" i="4"/>
  <c r="R134" i="4" s="1"/>
  <c r="S134" i="4" s="1"/>
  <c r="R470" i="4"/>
  <c r="S470" i="4" s="1"/>
  <c r="P467" i="4"/>
  <c r="R467" i="4" s="1"/>
  <c r="S467" i="4" s="1"/>
  <c r="P198" i="4"/>
  <c r="R198" i="4" s="1"/>
  <c r="S198" i="4" s="1"/>
  <c r="Q38" i="4"/>
  <c r="R38" i="4" s="1"/>
  <c r="S38" i="4" s="1"/>
  <c r="P152" i="4"/>
  <c r="R152" i="4" s="1"/>
  <c r="S152" i="4" s="1"/>
  <c r="Q433" i="4"/>
  <c r="R433" i="4" s="1"/>
  <c r="S433" i="4" s="1"/>
  <c r="R477" i="4"/>
  <c r="S477" i="4" s="1"/>
  <c r="Q63" i="4"/>
  <c r="R63" i="4" s="1"/>
  <c r="S63" i="4" s="1"/>
  <c r="P185" i="4"/>
  <c r="R185" i="4" s="1"/>
  <c r="S185" i="4" s="1"/>
  <c r="P113" i="4"/>
  <c r="R113" i="4" s="1"/>
  <c r="S113" i="4" s="1"/>
  <c r="Q241" i="4"/>
  <c r="R241" i="4" s="1"/>
  <c r="S241" i="4" s="1"/>
  <c r="Q179" i="4"/>
  <c r="R179" i="4" s="1"/>
  <c r="S179" i="4" s="1"/>
  <c r="Q392" i="4"/>
  <c r="R392" i="4" s="1"/>
  <c r="S392" i="4" s="1"/>
  <c r="Q266" i="4"/>
  <c r="R266" i="4" s="1"/>
  <c r="S266" i="4" s="1"/>
  <c r="Q172" i="4"/>
  <c r="R172" i="4" s="1"/>
  <c r="S172" i="4" s="1"/>
  <c r="P449" i="4"/>
  <c r="R449" i="4" s="1"/>
  <c r="S449" i="4" s="1"/>
  <c r="Q272" i="4"/>
  <c r="R272" i="4" s="1"/>
  <c r="S272" i="4" s="1"/>
  <c r="Q42" i="4"/>
  <c r="R42" i="4" s="1"/>
  <c r="S42" i="4" s="1"/>
  <c r="P400" i="4"/>
  <c r="R400" i="4" s="1"/>
  <c r="S400" i="4" s="1"/>
  <c r="P256" i="4"/>
  <c r="R256" i="4" s="1"/>
  <c r="S256" i="4" s="1"/>
  <c r="P171" i="4"/>
  <c r="R171" i="4" s="1"/>
  <c r="S171" i="4" s="1"/>
  <c r="Q473" i="4"/>
  <c r="R473" i="4" s="1"/>
  <c r="S473" i="4" s="1"/>
  <c r="P296" i="4"/>
  <c r="R296" i="4" s="1"/>
  <c r="S296" i="4" s="1"/>
  <c r="Q31" i="4"/>
  <c r="R31" i="4" s="1"/>
  <c r="S31" i="4" s="1"/>
  <c r="Q223" i="4"/>
  <c r="R223" i="4" s="1"/>
  <c r="S223" i="4" s="1"/>
  <c r="P211" i="4"/>
  <c r="R211" i="4" s="1"/>
  <c r="S211" i="4" s="1"/>
  <c r="Q40" i="4"/>
  <c r="R40" i="4" s="1"/>
  <c r="S40" i="4" s="1"/>
  <c r="R357" i="4"/>
  <c r="S357" i="4" s="1"/>
  <c r="P308" i="4"/>
  <c r="R308" i="4" s="1"/>
  <c r="S308" i="4" s="1"/>
  <c r="Q281" i="4"/>
  <c r="R281" i="4" s="1"/>
  <c r="S281" i="4" s="1"/>
  <c r="P417" i="4"/>
  <c r="Q417" i="4"/>
  <c r="Q368" i="4"/>
  <c r="P368" i="4"/>
  <c r="Q279" i="4"/>
  <c r="R279" i="4" s="1"/>
  <c r="S279" i="4" s="1"/>
  <c r="Q12" i="4"/>
  <c r="R12" i="4" s="1"/>
  <c r="S12" i="4" s="1"/>
  <c r="Q19" i="4"/>
  <c r="R19" i="4" s="1"/>
  <c r="S19" i="4" s="1"/>
  <c r="P440" i="4"/>
  <c r="Q440" i="4"/>
  <c r="Q450" i="4"/>
  <c r="P450" i="4"/>
  <c r="P112" i="4"/>
  <c r="R112" i="4" s="1"/>
  <c r="S112" i="4" s="1"/>
  <c r="P384" i="4"/>
  <c r="R384" i="4" s="1"/>
  <c r="S384" i="4" s="1"/>
  <c r="Q243" i="4"/>
  <c r="R243" i="4" s="1"/>
  <c r="S243" i="4" s="1"/>
  <c r="R326" i="4"/>
  <c r="S326" i="4" s="1"/>
  <c r="Q352" i="4"/>
  <c r="R352" i="4" s="1"/>
  <c r="S352" i="4" s="1"/>
  <c r="P81" i="4"/>
  <c r="R81" i="4" s="1"/>
  <c r="S81" i="4" s="1"/>
  <c r="Q339" i="4"/>
  <c r="P339" i="4"/>
  <c r="Q288" i="4"/>
  <c r="P288" i="4"/>
  <c r="P240" i="4"/>
  <c r="R240" i="4" s="1"/>
  <c r="S240" i="4" s="1"/>
  <c r="P217" i="4"/>
  <c r="R217" i="4" s="1"/>
  <c r="S217" i="4" s="1"/>
  <c r="P464" i="4"/>
  <c r="Q464" i="4"/>
  <c r="P255" i="4"/>
  <c r="Q255" i="4"/>
  <c r="Q120" i="4"/>
  <c r="R120" i="4" s="1"/>
  <c r="S120" i="4" s="1"/>
  <c r="P10" i="4"/>
  <c r="Q10" i="4"/>
  <c r="Q114" i="4"/>
  <c r="R114" i="4" s="1"/>
  <c r="S114" i="4" s="1"/>
  <c r="R497" i="4"/>
  <c r="S497" i="4" s="1"/>
  <c r="R280" i="4"/>
  <c r="S280" i="4" s="1"/>
  <c r="Q363" i="4"/>
  <c r="R363" i="4" s="1"/>
  <c r="S363" i="4" s="1"/>
  <c r="P385" i="4"/>
  <c r="Q385" i="4"/>
  <c r="Q226" i="4"/>
  <c r="P226" i="4"/>
  <c r="Q209" i="4"/>
  <c r="P209" i="4"/>
  <c r="P27" i="4"/>
  <c r="R27" i="4" s="1"/>
  <c r="S27" i="4" s="1"/>
  <c r="P153" i="4"/>
  <c r="Q153" i="4"/>
  <c r="Q121" i="4"/>
  <c r="P121" i="4"/>
  <c r="Q232" i="4"/>
  <c r="P232" i="4"/>
  <c r="P55" i="4"/>
  <c r="Q55" i="4"/>
  <c r="Q432" i="4"/>
  <c r="P432" i="4"/>
  <c r="Q307" i="4"/>
  <c r="P307" i="4"/>
  <c r="P378" i="4"/>
  <c r="Q378" i="4"/>
  <c r="Q25" i="4"/>
  <c r="P25" i="4"/>
  <c r="Q70" i="4"/>
  <c r="P70" i="4"/>
  <c r="Q102" i="4"/>
  <c r="P102" i="4"/>
  <c r="P192" i="4"/>
  <c r="Q192" i="4"/>
  <c r="P99" i="4"/>
  <c r="Q99" i="4"/>
  <c r="P76" i="4"/>
  <c r="Q76" i="4"/>
  <c r="Q402" i="4"/>
  <c r="R402" i="4" s="1"/>
  <c r="S402" i="4" s="1"/>
  <c r="P338" i="4"/>
  <c r="Q338" i="4"/>
  <c r="Q230" i="4"/>
  <c r="P230" i="4"/>
  <c r="Q276" i="4"/>
  <c r="P276" i="4"/>
  <c r="Q448" i="4"/>
  <c r="R448" i="4" s="1"/>
  <c r="S448" i="4" s="1"/>
  <c r="Q345" i="4"/>
  <c r="R345" i="4" s="1"/>
  <c r="S345" i="4" s="1"/>
  <c r="Q481" i="4"/>
  <c r="P481" i="4"/>
  <c r="P435" i="4"/>
  <c r="Q435" i="4"/>
  <c r="P416" i="4"/>
  <c r="Q416" i="4"/>
  <c r="R389" i="4"/>
  <c r="S389" i="4" s="1"/>
  <c r="Q319" i="4"/>
  <c r="R319" i="4" s="1"/>
  <c r="S319" i="4" s="1"/>
  <c r="P344" i="4"/>
  <c r="Q344" i="4"/>
  <c r="Q275" i="4"/>
  <c r="P275" i="4"/>
  <c r="P351" i="4"/>
  <c r="Q351" i="4"/>
  <c r="P364" i="4"/>
  <c r="Q364" i="4"/>
  <c r="P503" i="4"/>
  <c r="Q503" i="4"/>
  <c r="Q239" i="4"/>
  <c r="P239" i="4"/>
  <c r="Q58" i="4"/>
  <c r="P58" i="4"/>
  <c r="Q358" i="4"/>
  <c r="P358" i="4"/>
  <c r="P430" i="4"/>
  <c r="Q430" i="4"/>
  <c r="Q283" i="4"/>
  <c r="P283" i="4"/>
  <c r="P407" i="4"/>
  <c r="Q407" i="4"/>
  <c r="Q350" i="4"/>
  <c r="P350" i="4"/>
  <c r="P439" i="4"/>
  <c r="Q439" i="4"/>
  <c r="P492" i="4"/>
  <c r="Q492" i="4"/>
  <c r="Q502" i="4"/>
  <c r="P502" i="4"/>
  <c r="P299" i="4"/>
  <c r="Q299" i="4"/>
  <c r="Q301" i="4"/>
  <c r="P301" i="4"/>
  <c r="Q454" i="4"/>
  <c r="P454" i="4"/>
  <c r="P504" i="4"/>
  <c r="Q504" i="4"/>
  <c r="P29" i="4"/>
  <c r="Q29" i="4"/>
  <c r="Q35" i="4"/>
  <c r="P35" i="4"/>
  <c r="Q107" i="4"/>
  <c r="P107" i="4"/>
  <c r="P483" i="4"/>
  <c r="Q483" i="4"/>
  <c r="Q438" i="4"/>
  <c r="P438" i="4"/>
  <c r="P426" i="4"/>
  <c r="Q426" i="4"/>
  <c r="P147" i="4"/>
  <c r="Q147" i="4"/>
  <c r="Q201" i="4"/>
  <c r="P201" i="4"/>
  <c r="Q23" i="4"/>
  <c r="P23" i="4"/>
  <c r="P484" i="4"/>
  <c r="Q484" i="4"/>
  <c r="Q486" i="4"/>
  <c r="P486" i="4"/>
  <c r="P404" i="4"/>
  <c r="Q404" i="4"/>
  <c r="P359" i="4"/>
  <c r="Q359" i="4"/>
  <c r="P455" i="4"/>
  <c r="Q455" i="4"/>
  <c r="P388" i="4"/>
  <c r="Q388" i="4"/>
  <c r="Q215" i="4"/>
  <c r="P215" i="4"/>
  <c r="P444" i="4"/>
  <c r="Q444" i="4"/>
  <c r="Q253" i="4"/>
  <c r="P253" i="4"/>
  <c r="P479" i="4"/>
  <c r="Q479" i="4"/>
  <c r="P118" i="4"/>
  <c r="Q118" i="4"/>
  <c r="P327" i="4"/>
  <c r="Q327" i="4"/>
  <c r="P95" i="4"/>
  <c r="Q95" i="4"/>
  <c r="Q478" i="4"/>
  <c r="P478" i="4"/>
  <c r="P495" i="4"/>
  <c r="Q495" i="4"/>
  <c r="P7" i="4"/>
  <c r="Q7" i="4"/>
  <c r="P476" i="4"/>
  <c r="Q476" i="4"/>
  <c r="P142" i="4"/>
  <c r="Q142" i="4"/>
  <c r="P375" i="4"/>
  <c r="Q375" i="4"/>
  <c r="P290" i="4"/>
  <c r="Q290" i="4"/>
  <c r="P54" i="4"/>
  <c r="Q54" i="4"/>
  <c r="Q475" i="4"/>
  <c r="P475" i="4"/>
  <c r="P162" i="4"/>
  <c r="Q162" i="4"/>
  <c r="Q371" i="4"/>
  <c r="P371" i="4"/>
  <c r="Q218" i="4"/>
  <c r="P218" i="4"/>
  <c r="Q424" i="4"/>
  <c r="P424" i="4"/>
  <c r="Q205" i="4"/>
  <c r="P205" i="4"/>
  <c r="P214" i="4"/>
  <c r="Q214" i="4"/>
  <c r="Q85" i="4"/>
  <c r="P85" i="4"/>
  <c r="P445" i="4"/>
  <c r="Q445" i="4"/>
  <c r="Q356" i="4"/>
  <c r="P356" i="4"/>
  <c r="P366" i="4"/>
  <c r="Q366" i="4"/>
  <c r="Q278" i="4"/>
  <c r="P278" i="4"/>
  <c r="P75" i="4"/>
  <c r="Q75" i="4"/>
  <c r="Q200" i="4"/>
  <c r="P200" i="4"/>
  <c r="P167" i="4"/>
  <c r="Q167" i="4"/>
  <c r="Q56" i="4"/>
  <c r="P56" i="4"/>
  <c r="P14" i="4"/>
  <c r="Q14" i="4"/>
  <c r="P188" i="4"/>
  <c r="Q188" i="4"/>
  <c r="P11" i="4"/>
  <c r="Q11" i="4"/>
  <c r="P376" i="4"/>
  <c r="Q376" i="4"/>
  <c r="P300" i="4"/>
  <c r="Q300" i="4"/>
  <c r="P150" i="4"/>
  <c r="Q150" i="4"/>
  <c r="Q333" i="4"/>
  <c r="P333" i="4"/>
  <c r="P347" i="4"/>
  <c r="Q347" i="4"/>
  <c r="P482" i="4"/>
  <c r="Q482" i="4"/>
  <c r="P174" i="4"/>
  <c r="Q174" i="4"/>
  <c r="Q160" i="4"/>
  <c r="P160" i="4"/>
  <c r="Q9" i="4"/>
  <c r="P9" i="4"/>
  <c r="Q386" i="4"/>
  <c r="P386" i="4"/>
  <c r="P408" i="4"/>
  <c r="Q408" i="4"/>
  <c r="P306" i="4"/>
  <c r="Q306" i="4"/>
  <c r="P456" i="4"/>
  <c r="Q456" i="4"/>
  <c r="P224" i="4"/>
  <c r="Q224" i="4"/>
  <c r="Q34" i="4"/>
  <c r="P34" i="4"/>
  <c r="P412" i="4"/>
  <c r="Q412" i="4"/>
  <c r="P293" i="4"/>
  <c r="Q293" i="4"/>
  <c r="P30" i="4"/>
  <c r="Q30" i="4"/>
  <c r="P458" i="4"/>
  <c r="Q458" i="4"/>
  <c r="Q130" i="4"/>
  <c r="P130" i="4"/>
  <c r="Q222" i="4"/>
  <c r="P222" i="4"/>
  <c r="P73" i="4"/>
  <c r="Q73" i="4"/>
  <c r="P49" i="4"/>
  <c r="Q49" i="4"/>
  <c r="P194" i="4"/>
  <c r="Q194" i="4"/>
  <c r="P186" i="4"/>
  <c r="Q186" i="4"/>
  <c r="P208" i="4"/>
  <c r="Q208" i="4"/>
  <c r="P125" i="4"/>
  <c r="Q125" i="4"/>
  <c r="P429" i="4"/>
  <c r="Q429" i="4"/>
  <c r="P44" i="4"/>
  <c r="Q44" i="4"/>
  <c r="P135" i="4"/>
  <c r="Q135" i="4"/>
  <c r="Q284" i="4"/>
  <c r="P284" i="4"/>
  <c r="P316" i="4"/>
  <c r="Q316" i="4"/>
  <c r="P369" i="4"/>
  <c r="Q369" i="4"/>
  <c r="P264" i="4"/>
  <c r="Q264" i="4"/>
  <c r="Q182" i="4"/>
  <c r="P182" i="4"/>
  <c r="Q270" i="4"/>
  <c r="P270" i="4"/>
  <c r="P236" i="4"/>
  <c r="Q236" i="4"/>
  <c r="P43" i="4"/>
  <c r="Q43" i="4"/>
  <c r="P178" i="4"/>
  <c r="Q178" i="4"/>
  <c r="P414" i="4"/>
  <c r="Q414" i="4"/>
  <c r="P499" i="4"/>
  <c r="Q499" i="4"/>
  <c r="P202" i="4"/>
  <c r="Q202" i="4"/>
  <c r="P282" i="4"/>
  <c r="Q282" i="4"/>
  <c r="P466" i="4"/>
  <c r="Q466" i="4"/>
  <c r="Q28" i="4"/>
  <c r="P28" i="4"/>
  <c r="P117" i="4"/>
  <c r="Q117" i="4"/>
  <c r="P199" i="4"/>
  <c r="Q199" i="4"/>
  <c r="P355" i="4"/>
  <c r="Q355" i="4"/>
  <c r="Q104" i="4"/>
  <c r="P104" i="4"/>
  <c r="Q170" i="4"/>
  <c r="P170" i="4"/>
  <c r="P62" i="4"/>
  <c r="Q62" i="4"/>
  <c r="P485" i="4"/>
  <c r="Q485" i="4"/>
  <c r="P17" i="4"/>
  <c r="Q17" i="4"/>
  <c r="Q163" i="4"/>
  <c r="P163" i="4"/>
  <c r="Q41" i="4"/>
  <c r="P41" i="4"/>
  <c r="P267" i="4"/>
  <c r="Q267" i="4"/>
  <c r="P88" i="4"/>
  <c r="Q88" i="4"/>
  <c r="Q127" i="4"/>
  <c r="P127" i="4"/>
  <c r="P461" i="4"/>
  <c r="Q461" i="4"/>
  <c r="Q168" i="4"/>
  <c r="P168" i="4"/>
  <c r="Q318" i="4"/>
  <c r="P318" i="4"/>
  <c r="Q36" i="4"/>
  <c r="P36" i="4"/>
  <c r="P166" i="4"/>
  <c r="Q166" i="4"/>
  <c r="Q265" i="4"/>
  <c r="P265" i="4"/>
  <c r="P452" i="4"/>
  <c r="Q452" i="4"/>
  <c r="Q354" i="4"/>
  <c r="P354" i="4"/>
  <c r="P437" i="4"/>
  <c r="Q437" i="4"/>
  <c r="Q494" i="4"/>
  <c r="P494" i="4"/>
  <c r="Q155" i="4"/>
  <c r="P155" i="4"/>
  <c r="Q340" i="4"/>
  <c r="P340" i="4"/>
  <c r="P173" i="4"/>
  <c r="Q173" i="4"/>
  <c r="P51" i="4"/>
  <c r="Q51" i="4"/>
  <c r="Q331" i="4"/>
  <c r="P331" i="4"/>
  <c r="Q292" i="4"/>
  <c r="P292" i="4"/>
  <c r="Q237" i="4"/>
  <c r="P237" i="4"/>
  <c r="P159" i="4"/>
  <c r="Q159" i="4"/>
  <c r="Q129" i="4"/>
  <c r="P129" i="4"/>
  <c r="P80" i="4"/>
  <c r="Q80" i="4"/>
  <c r="P423" i="4"/>
  <c r="Q423" i="4"/>
  <c r="P175" i="4"/>
  <c r="Q175" i="4"/>
  <c r="Q87" i="4"/>
  <c r="P87" i="4"/>
  <c r="P204" i="4"/>
  <c r="Q204" i="4"/>
  <c r="Q263" i="4"/>
  <c r="P263" i="4"/>
  <c r="P398" i="4"/>
  <c r="Q398" i="4"/>
  <c r="P156" i="4"/>
  <c r="Q156" i="4"/>
  <c r="P395" i="4"/>
  <c r="Q395" i="4"/>
  <c r="P67" i="4"/>
  <c r="Q67" i="4"/>
  <c r="P53" i="4"/>
  <c r="Q53" i="4"/>
  <c r="P413" i="4"/>
  <c r="Q413" i="4"/>
  <c r="Q20" i="4"/>
  <c r="P20" i="4"/>
  <c r="P496" i="4"/>
  <c r="Q496" i="4"/>
  <c r="P460" i="4"/>
  <c r="Q460" i="4"/>
  <c r="P48" i="4"/>
  <c r="Q48" i="4"/>
  <c r="Q227" i="4"/>
  <c r="P227" i="4"/>
  <c r="Q269" i="4"/>
  <c r="P269" i="4"/>
  <c r="P321" i="4"/>
  <c r="Q321" i="4"/>
  <c r="P165" i="4"/>
  <c r="Q165" i="4"/>
  <c r="Q405" i="4"/>
  <c r="P405" i="4"/>
  <c r="P349" i="4"/>
  <c r="Q349" i="4"/>
  <c r="Q119" i="4"/>
  <c r="P119" i="4"/>
  <c r="P488" i="4"/>
  <c r="Q488" i="4"/>
  <c r="P348" i="4"/>
  <c r="Q348" i="4"/>
  <c r="Q213" i="4"/>
  <c r="P213" i="4"/>
  <c r="Q325" i="4"/>
  <c r="P325" i="4"/>
  <c r="Q103" i="4"/>
  <c r="P103" i="4"/>
  <c r="P328" i="4"/>
  <c r="Q328" i="4"/>
  <c r="Q50" i="4"/>
  <c r="P50" i="4"/>
  <c r="Q311" i="4"/>
  <c r="P311" i="4"/>
  <c r="P158" i="4"/>
  <c r="Q158" i="4"/>
  <c r="Q115" i="4"/>
  <c r="P115" i="4"/>
  <c r="Q289" i="4"/>
  <c r="P289" i="4"/>
  <c r="Q110" i="4"/>
  <c r="P110" i="4"/>
  <c r="P394" i="4"/>
  <c r="Q394" i="4"/>
  <c r="Q291" i="4"/>
  <c r="P291" i="4"/>
  <c r="P391" i="4"/>
  <c r="Q391" i="4"/>
  <c r="P419" i="4"/>
  <c r="Q419" i="4"/>
  <c r="P343" i="4"/>
  <c r="Q343" i="4"/>
  <c r="Q491" i="4"/>
  <c r="P491" i="4"/>
  <c r="P322" i="4"/>
  <c r="Q322" i="4"/>
  <c r="Q133" i="4"/>
  <c r="P133" i="4"/>
  <c r="Q101" i="4"/>
  <c r="P101" i="4"/>
  <c r="Q399" i="4"/>
  <c r="P399" i="4"/>
  <c r="P427" i="4"/>
  <c r="Q427" i="4"/>
  <c r="P441" i="4"/>
  <c r="Q441" i="4"/>
  <c r="P190" i="4"/>
  <c r="Q190" i="4"/>
  <c r="P22" i="4"/>
  <c r="Q22" i="4"/>
  <c r="P409" i="4"/>
  <c r="Q409" i="4"/>
  <c r="P140" i="4"/>
  <c r="Q140" i="4"/>
  <c r="P90" i="4"/>
  <c r="Q90" i="4"/>
  <c r="P24" i="4"/>
  <c r="Q24" i="4"/>
  <c r="P164" i="4"/>
  <c r="Q164" i="4"/>
  <c r="P193" i="4"/>
  <c r="Q193" i="4"/>
  <c r="P360" i="4"/>
  <c r="Q360" i="4"/>
  <c r="Q425" i="4"/>
  <c r="P425" i="4"/>
  <c r="Q421" i="4"/>
  <c r="P421" i="4"/>
  <c r="Q317" i="4"/>
  <c r="P317" i="4"/>
  <c r="P401" i="4"/>
  <c r="Q401" i="4"/>
  <c r="Q111" i="4"/>
  <c r="P111" i="4"/>
  <c r="P312" i="4"/>
  <c r="Q312" i="4"/>
  <c r="Q65" i="4"/>
  <c r="P65" i="4"/>
  <c r="Q362" i="4"/>
  <c r="P362" i="4"/>
  <c r="P418" i="4"/>
  <c r="Q418" i="4"/>
  <c r="Q342" i="4"/>
  <c r="P342" i="4"/>
  <c r="Q84" i="4"/>
  <c r="P84" i="4"/>
  <c r="Q33" i="4"/>
  <c r="P33" i="4"/>
  <c r="P500" i="4"/>
  <c r="Q500" i="4"/>
  <c r="P428" i="4"/>
  <c r="Q428" i="4"/>
  <c r="Q310" i="4"/>
  <c r="P310" i="4"/>
  <c r="P382" i="4"/>
  <c r="Q382" i="4"/>
  <c r="Q143" i="4"/>
  <c r="P143" i="4"/>
  <c r="P96" i="4"/>
  <c r="Q96" i="4"/>
  <c r="Q169" i="4"/>
  <c r="P169" i="4"/>
  <c r="Q32" i="4"/>
  <c r="P32" i="4"/>
  <c r="Q324" i="4"/>
  <c r="P324" i="4"/>
  <c r="P472" i="4"/>
  <c r="Q472" i="4"/>
  <c r="Q297" i="4"/>
  <c r="P297" i="4"/>
  <c r="P210" i="4"/>
  <c r="Q210" i="4"/>
  <c r="P151" i="4"/>
  <c r="Q151" i="4"/>
  <c r="P203" i="4"/>
  <c r="Q203" i="4"/>
  <c r="P47" i="4"/>
  <c r="Q47" i="4"/>
  <c r="P374" i="4"/>
  <c r="Q374" i="4"/>
  <c r="P220" i="4"/>
  <c r="Q220" i="4"/>
  <c r="P295" i="4"/>
  <c r="Q295" i="4"/>
  <c r="P447" i="4"/>
  <c r="Q447" i="4"/>
  <c r="P381" i="4"/>
  <c r="Q381" i="4"/>
  <c r="P246" i="4"/>
  <c r="Q246" i="4"/>
  <c r="Q238" i="4"/>
  <c r="P238" i="4"/>
  <c r="P498" i="4"/>
  <c r="Q498" i="4"/>
  <c r="Q431" i="4"/>
  <c r="P431" i="4"/>
  <c r="P46" i="4"/>
  <c r="Q46" i="4"/>
  <c r="Q262" i="4"/>
  <c r="P262" i="4"/>
  <c r="P304" i="4"/>
  <c r="Q304" i="4"/>
  <c r="Q245" i="4"/>
  <c r="P245" i="4"/>
  <c r="P463" i="4"/>
  <c r="Q463" i="4"/>
  <c r="Q106" i="4"/>
  <c r="P106" i="4"/>
  <c r="Q60" i="4"/>
  <c r="P60" i="4"/>
  <c r="Q336" i="4"/>
  <c r="P336" i="4"/>
  <c r="P247" i="4"/>
  <c r="Q247" i="4"/>
  <c r="Q268" i="4"/>
  <c r="P268" i="4"/>
  <c r="P260" i="4"/>
  <c r="Q260" i="4"/>
  <c r="Q329" i="4"/>
  <c r="P329" i="4"/>
  <c r="P98" i="4"/>
  <c r="Q98" i="4"/>
  <c r="Q387" i="4"/>
  <c r="P387" i="4"/>
  <c r="P313" i="4"/>
  <c r="Q313" i="4"/>
  <c r="Q434" i="4"/>
  <c r="P434" i="4"/>
  <c r="P233" i="4"/>
  <c r="Q233" i="4"/>
  <c r="Q21" i="4"/>
  <c r="P21" i="4"/>
  <c r="Q93" i="4"/>
  <c r="P93" i="4"/>
  <c r="P154" i="4"/>
  <c r="Q154" i="4"/>
  <c r="P361" i="4"/>
  <c r="Q361" i="4"/>
  <c r="Q45" i="4"/>
  <c r="P45" i="4"/>
  <c r="P39" i="4"/>
  <c r="Q39" i="4"/>
  <c r="Q294" i="4"/>
  <c r="P294" i="4"/>
  <c r="P15" i="4"/>
  <c r="Q15" i="4"/>
  <c r="Q379" i="4"/>
  <c r="P379" i="4"/>
  <c r="Q334" i="4"/>
  <c r="P334" i="4"/>
  <c r="Q248" i="4"/>
  <c r="P248" i="4"/>
  <c r="Q346" i="4"/>
  <c r="P346" i="4"/>
  <c r="P187" i="4"/>
  <c r="Q187" i="4"/>
  <c r="Q285" i="4"/>
  <c r="P285" i="4"/>
  <c r="Q6" i="4"/>
  <c r="P6" i="4"/>
  <c r="P320" i="4"/>
  <c r="Q320" i="4"/>
  <c r="P287" i="4"/>
  <c r="Q287" i="4"/>
  <c r="P420" i="4"/>
  <c r="Q420" i="4"/>
  <c r="P207" i="4"/>
  <c r="Q207" i="4"/>
  <c r="Q141" i="4"/>
  <c r="P141" i="4"/>
  <c r="Q373" i="4"/>
  <c r="P373" i="4"/>
  <c r="P302" i="4"/>
  <c r="Q302" i="4"/>
  <c r="Q309" i="4"/>
  <c r="P309" i="4"/>
  <c r="P396" i="4"/>
  <c r="Q396" i="4"/>
  <c r="P132" i="4"/>
  <c r="Q132" i="4"/>
  <c r="P228" i="4"/>
  <c r="Q228" i="4"/>
  <c r="P52" i="4"/>
  <c r="Q52" i="4"/>
  <c r="Q225" i="4"/>
  <c r="P225" i="4"/>
  <c r="Q18" i="4"/>
  <c r="P18" i="4"/>
  <c r="P83" i="4"/>
  <c r="Q83" i="4"/>
  <c r="P314" i="4"/>
  <c r="Q314" i="4"/>
  <c r="P474" i="4"/>
  <c r="Q474" i="4"/>
  <c r="P235" i="4"/>
  <c r="Q235" i="4"/>
  <c r="P148" i="4"/>
  <c r="Q148" i="4"/>
  <c r="Q353" i="4"/>
  <c r="P353" i="4"/>
  <c r="Q26" i="4"/>
  <c r="P26" i="4"/>
  <c r="P231" i="4"/>
  <c r="Q231" i="4"/>
  <c r="P365" i="4"/>
  <c r="Q365" i="4"/>
  <c r="P303" i="4"/>
  <c r="Q303" i="4"/>
  <c r="P422" i="4"/>
  <c r="Q422" i="4"/>
  <c r="P390" i="4"/>
  <c r="Q390" i="4"/>
  <c r="P471" i="4"/>
  <c r="Q471" i="4"/>
  <c r="P453" i="4"/>
  <c r="Q453" i="4"/>
  <c r="Q277" i="4"/>
  <c r="P277" i="4"/>
  <c r="Q367" i="4"/>
  <c r="P367" i="4"/>
  <c r="Q16" i="4"/>
  <c r="P16" i="4"/>
  <c r="P234" i="4"/>
  <c r="Q234" i="4"/>
  <c r="P13" i="4"/>
  <c r="Q13" i="4"/>
  <c r="P469" i="4"/>
  <c r="Q469" i="4"/>
  <c r="Q206" i="4"/>
  <c r="P206" i="4"/>
  <c r="Q383" i="4"/>
  <c r="P383" i="4"/>
  <c r="P250" i="4"/>
  <c r="Q250" i="4"/>
  <c r="Q254" i="4"/>
  <c r="P254" i="4"/>
  <c r="Q109" i="4"/>
  <c r="P109" i="4"/>
  <c r="Q249" i="4"/>
  <c r="P249" i="4"/>
  <c r="Q330" i="4"/>
  <c r="P330" i="4"/>
  <c r="Q274" i="4"/>
  <c r="P274" i="4"/>
  <c r="P286" i="4"/>
  <c r="Q286" i="4"/>
  <c r="P61" i="4"/>
  <c r="Q61" i="4"/>
  <c r="P501" i="4"/>
  <c r="Q501" i="4"/>
  <c r="P271" i="4"/>
  <c r="Q271" i="4"/>
  <c r="P191" i="4"/>
  <c r="Q191" i="4"/>
  <c r="P149" i="4"/>
  <c r="Q149" i="4"/>
  <c r="Q176" i="4"/>
  <c r="P176" i="4"/>
  <c r="Q446" i="4"/>
  <c r="P446" i="4"/>
  <c r="P145" i="4"/>
  <c r="Q145" i="4"/>
  <c r="Q92" i="4"/>
  <c r="P92" i="4"/>
  <c r="Q181" i="4"/>
  <c r="P181" i="4"/>
  <c r="Q8" i="4"/>
  <c r="P8" i="4"/>
  <c r="P221" i="4"/>
  <c r="Q221" i="4"/>
  <c r="P216" i="4"/>
  <c r="Q216" i="4"/>
  <c r="Q126" i="4"/>
  <c r="P126" i="4"/>
  <c r="P490" i="4"/>
  <c r="Q490" i="4"/>
  <c r="Q189" i="4"/>
  <c r="P189" i="4"/>
  <c r="Q137" i="4"/>
  <c r="P137" i="4"/>
  <c r="P493" i="4"/>
  <c r="Q493" i="4"/>
  <c r="Q480" i="4"/>
  <c r="P480" i="4"/>
  <c r="P195" i="4"/>
  <c r="Q195" i="4"/>
  <c r="P71" i="4"/>
  <c r="Q71" i="4"/>
  <c r="P184" i="4"/>
  <c r="Q184" i="4"/>
  <c r="Q79" i="4"/>
  <c r="P79" i="4"/>
  <c r="Q370" i="4"/>
  <c r="P370" i="4"/>
  <c r="Q122" i="4"/>
  <c r="P122" i="4"/>
  <c r="P196" i="4"/>
  <c r="Q196" i="4"/>
  <c r="Q180" i="4"/>
  <c r="P180" i="4"/>
  <c r="R5" i="4"/>
  <c r="S5" i="4" s="1"/>
  <c r="R126" i="4" l="1"/>
  <c r="S126" i="4" s="1"/>
  <c r="R181" i="4"/>
  <c r="S181" i="4" s="1"/>
  <c r="R176" i="4"/>
  <c r="S176" i="4" s="1"/>
  <c r="R330" i="4"/>
  <c r="S330" i="4" s="1"/>
  <c r="R26" i="4"/>
  <c r="S26" i="4" s="1"/>
  <c r="R368" i="4"/>
  <c r="S368" i="4" s="1"/>
  <c r="R180" i="4"/>
  <c r="S180" i="4" s="1"/>
  <c r="R446" i="4"/>
  <c r="S446" i="4" s="1"/>
  <c r="R274" i="4"/>
  <c r="S274" i="4" s="1"/>
  <c r="R254" i="4"/>
  <c r="S254" i="4" s="1"/>
  <c r="R367" i="4"/>
  <c r="S367" i="4" s="1"/>
  <c r="R300" i="4"/>
  <c r="S300" i="4" s="1"/>
  <c r="R339" i="4"/>
  <c r="S339" i="4" s="1"/>
  <c r="R226" i="4"/>
  <c r="S226" i="4" s="1"/>
  <c r="R122" i="4"/>
  <c r="S122" i="4" s="1"/>
  <c r="R383" i="4"/>
  <c r="S383" i="4" s="1"/>
  <c r="R143" i="4"/>
  <c r="S143" i="4" s="1"/>
  <c r="R348" i="4"/>
  <c r="S348" i="4" s="1"/>
  <c r="R405" i="4"/>
  <c r="S405" i="4" s="1"/>
  <c r="R227" i="4"/>
  <c r="S227" i="4" s="1"/>
  <c r="R204" i="4"/>
  <c r="S204" i="4" s="1"/>
  <c r="R127" i="4"/>
  <c r="S127" i="4" s="1"/>
  <c r="R163" i="4"/>
  <c r="S163" i="4" s="1"/>
  <c r="R73" i="4"/>
  <c r="S73" i="4" s="1"/>
  <c r="R421" i="4"/>
  <c r="S421" i="4" s="1"/>
  <c r="R289" i="4"/>
  <c r="S289" i="4" s="1"/>
  <c r="R50" i="4"/>
  <c r="S50" i="4" s="1"/>
  <c r="R213" i="4"/>
  <c r="S213" i="4" s="1"/>
  <c r="R269" i="4"/>
  <c r="S269" i="4" s="1"/>
  <c r="R461" i="4"/>
  <c r="S461" i="4" s="1"/>
  <c r="R41" i="4"/>
  <c r="S41" i="4" s="1"/>
  <c r="R284" i="4"/>
  <c r="S284" i="4" s="1"/>
  <c r="R34" i="4"/>
  <c r="S34" i="4" s="1"/>
  <c r="R58" i="4"/>
  <c r="S58" i="4" s="1"/>
  <c r="R351" i="4"/>
  <c r="S351" i="4" s="1"/>
  <c r="R102" i="4"/>
  <c r="S102" i="4" s="1"/>
  <c r="R307" i="4"/>
  <c r="S307" i="4" s="1"/>
  <c r="R121" i="4"/>
  <c r="S121" i="4" s="1"/>
  <c r="R285" i="4"/>
  <c r="S285" i="4" s="1"/>
  <c r="R334" i="4"/>
  <c r="S334" i="4" s="1"/>
  <c r="R93" i="4"/>
  <c r="S93" i="4" s="1"/>
  <c r="R60" i="4"/>
  <c r="S60" i="4" s="1"/>
  <c r="R110" i="4"/>
  <c r="S110" i="4" s="1"/>
  <c r="R311" i="4"/>
  <c r="S311" i="4" s="1"/>
  <c r="R325" i="4"/>
  <c r="S325" i="4" s="1"/>
  <c r="R119" i="4"/>
  <c r="S119" i="4" s="1"/>
  <c r="R51" i="4"/>
  <c r="S51" i="4" s="1"/>
  <c r="R160" i="4"/>
  <c r="S160" i="4" s="1"/>
  <c r="R333" i="4"/>
  <c r="S333" i="4" s="1"/>
  <c r="R359" i="4"/>
  <c r="S359" i="4" s="1"/>
  <c r="R23" i="4"/>
  <c r="S23" i="4" s="1"/>
  <c r="R438" i="4"/>
  <c r="S438" i="4" s="1"/>
  <c r="R350" i="4"/>
  <c r="S350" i="4" s="1"/>
  <c r="R358" i="4"/>
  <c r="S358" i="4" s="1"/>
  <c r="R232" i="4"/>
  <c r="S232" i="4" s="1"/>
  <c r="R478" i="4"/>
  <c r="S478" i="4" s="1"/>
  <c r="R388" i="4"/>
  <c r="S388" i="4" s="1"/>
  <c r="R486" i="4"/>
  <c r="S486" i="4" s="1"/>
  <c r="R401" i="4"/>
  <c r="S401" i="4" s="1"/>
  <c r="R360" i="4"/>
  <c r="S360" i="4" s="1"/>
  <c r="R90" i="4"/>
  <c r="S90" i="4" s="1"/>
  <c r="R413" i="4"/>
  <c r="S413" i="4" s="1"/>
  <c r="R189" i="4"/>
  <c r="S189" i="4" s="1"/>
  <c r="R109" i="4"/>
  <c r="S109" i="4" s="1"/>
  <c r="R206" i="4"/>
  <c r="S206" i="4" s="1"/>
  <c r="R209" i="4"/>
  <c r="S209" i="4" s="1"/>
  <c r="R414" i="4"/>
  <c r="S414" i="4" s="1"/>
  <c r="R385" i="4"/>
  <c r="S385" i="4" s="1"/>
  <c r="R454" i="4"/>
  <c r="S454" i="4" s="1"/>
  <c r="R447" i="4"/>
  <c r="S447" i="4" s="1"/>
  <c r="R501" i="4"/>
  <c r="S501" i="4" s="1"/>
  <c r="R309" i="4"/>
  <c r="S309" i="4" s="1"/>
  <c r="R431" i="4"/>
  <c r="S431" i="4" s="1"/>
  <c r="R374" i="4"/>
  <c r="S374" i="4" s="1"/>
  <c r="R32" i="4"/>
  <c r="S32" i="4" s="1"/>
  <c r="R382" i="4"/>
  <c r="S382" i="4" s="1"/>
  <c r="R155" i="4"/>
  <c r="S155" i="4" s="1"/>
  <c r="R318" i="4"/>
  <c r="S318" i="4" s="1"/>
  <c r="R222" i="4"/>
  <c r="S222" i="4" s="1"/>
  <c r="R481" i="4"/>
  <c r="S481" i="4" s="1"/>
  <c r="R230" i="4"/>
  <c r="S230" i="4" s="1"/>
  <c r="R25" i="4"/>
  <c r="S25" i="4" s="1"/>
  <c r="R450" i="4"/>
  <c r="S450" i="4" s="1"/>
  <c r="R476" i="4"/>
  <c r="S476" i="4" s="1"/>
  <c r="R426" i="4"/>
  <c r="S426" i="4" s="1"/>
  <c r="R301" i="4"/>
  <c r="S301" i="4" s="1"/>
  <c r="R216" i="4"/>
  <c r="S216" i="4" s="1"/>
  <c r="R234" i="4"/>
  <c r="S234" i="4" s="1"/>
  <c r="R417" i="4"/>
  <c r="S417" i="4" s="1"/>
  <c r="R203" i="4"/>
  <c r="S203" i="4" s="1"/>
  <c r="R347" i="4"/>
  <c r="S347" i="4" s="1"/>
  <c r="R85" i="4"/>
  <c r="S85" i="4" s="1"/>
  <c r="R455" i="4"/>
  <c r="S455" i="4" s="1"/>
  <c r="R439" i="4"/>
  <c r="S439" i="4" s="1"/>
  <c r="R440" i="4"/>
  <c r="S440" i="4" s="1"/>
  <c r="R98" i="4"/>
  <c r="S98" i="4" s="1"/>
  <c r="R295" i="4"/>
  <c r="S295" i="4" s="1"/>
  <c r="R53" i="4"/>
  <c r="S53" i="4" s="1"/>
  <c r="R376" i="4"/>
  <c r="S376" i="4" s="1"/>
  <c r="R484" i="4"/>
  <c r="S484" i="4" s="1"/>
  <c r="R430" i="4"/>
  <c r="S430" i="4" s="1"/>
  <c r="R375" i="4"/>
  <c r="S375" i="4" s="1"/>
  <c r="R255" i="4"/>
  <c r="S255" i="4" s="1"/>
  <c r="R472" i="4"/>
  <c r="S472" i="4" s="1"/>
  <c r="R456" i="4"/>
  <c r="S456" i="4" s="1"/>
  <c r="R56" i="4"/>
  <c r="S56" i="4" s="1"/>
  <c r="R54" i="4"/>
  <c r="S54" i="4" s="1"/>
  <c r="R503" i="4"/>
  <c r="S503" i="4" s="1"/>
  <c r="R349" i="4"/>
  <c r="S349" i="4" s="1"/>
  <c r="R18" i="4"/>
  <c r="S18" i="4" s="1"/>
  <c r="R373" i="4"/>
  <c r="S373" i="4" s="1"/>
  <c r="R84" i="4"/>
  <c r="S84" i="4" s="1"/>
  <c r="R87" i="4"/>
  <c r="S87" i="4" s="1"/>
  <c r="R129" i="4"/>
  <c r="S129" i="4" s="1"/>
  <c r="R386" i="4"/>
  <c r="S386" i="4" s="1"/>
  <c r="R424" i="4"/>
  <c r="S424" i="4" s="1"/>
  <c r="R475" i="4"/>
  <c r="S475" i="4" s="1"/>
  <c r="R283" i="4"/>
  <c r="S283" i="4" s="1"/>
  <c r="R239" i="4"/>
  <c r="S239" i="4" s="1"/>
  <c r="R199" i="4"/>
  <c r="S199" i="4" s="1"/>
  <c r="R444" i="4"/>
  <c r="S444" i="4" s="1"/>
  <c r="R365" i="4"/>
  <c r="S365" i="4" s="1"/>
  <c r="R294" i="4"/>
  <c r="S294" i="4" s="1"/>
  <c r="R220" i="4"/>
  <c r="S220" i="4" s="1"/>
  <c r="R164" i="4"/>
  <c r="S164" i="4" s="1"/>
  <c r="R353" i="4"/>
  <c r="S353" i="4" s="1"/>
  <c r="R346" i="4"/>
  <c r="S346" i="4" s="1"/>
  <c r="R342" i="4"/>
  <c r="S342" i="4" s="1"/>
  <c r="R130" i="4"/>
  <c r="S130" i="4" s="1"/>
  <c r="R502" i="4"/>
  <c r="S502" i="4" s="1"/>
  <c r="R437" i="4"/>
  <c r="S437" i="4" s="1"/>
  <c r="R282" i="4"/>
  <c r="S282" i="4" s="1"/>
  <c r="R409" i="4"/>
  <c r="S409" i="4" s="1"/>
  <c r="R458" i="4"/>
  <c r="S458" i="4" s="1"/>
  <c r="R174" i="4"/>
  <c r="S174" i="4" s="1"/>
  <c r="R356" i="4"/>
  <c r="S356" i="4" s="1"/>
  <c r="R495" i="4"/>
  <c r="S495" i="4" s="1"/>
  <c r="R504" i="4"/>
  <c r="S504" i="4" s="1"/>
  <c r="R420" i="4"/>
  <c r="S420" i="4" s="1"/>
  <c r="R496" i="4"/>
  <c r="S496" i="4" s="1"/>
  <c r="R67" i="4"/>
  <c r="S67" i="4" s="1"/>
  <c r="R62" i="4"/>
  <c r="S62" i="4" s="1"/>
  <c r="R500" i="4"/>
  <c r="S500" i="4" s="1"/>
  <c r="R460" i="4"/>
  <c r="S460" i="4" s="1"/>
  <c r="R188" i="4"/>
  <c r="S188" i="4" s="1"/>
  <c r="R404" i="4"/>
  <c r="S404" i="4" s="1"/>
  <c r="R399" i="4"/>
  <c r="S399" i="4" s="1"/>
  <c r="R491" i="4"/>
  <c r="S491" i="4" s="1"/>
  <c r="R452" i="4"/>
  <c r="S452" i="4" s="1"/>
  <c r="R236" i="4"/>
  <c r="S236" i="4" s="1"/>
  <c r="R30" i="4"/>
  <c r="S30" i="4" s="1"/>
  <c r="R75" i="4"/>
  <c r="S75" i="4" s="1"/>
  <c r="R142" i="4"/>
  <c r="S142" i="4" s="1"/>
  <c r="R147" i="4"/>
  <c r="S147" i="4" s="1"/>
  <c r="R492" i="4"/>
  <c r="S492" i="4" s="1"/>
  <c r="R10" i="4"/>
  <c r="S10" i="4" s="1"/>
  <c r="R151" i="4"/>
  <c r="S151" i="4" s="1"/>
  <c r="R156" i="4"/>
  <c r="S156" i="4" s="1"/>
  <c r="R125" i="4"/>
  <c r="S125" i="4" s="1"/>
  <c r="R464" i="4"/>
  <c r="S464" i="4" s="1"/>
  <c r="R391" i="4"/>
  <c r="S391" i="4" s="1"/>
  <c r="R150" i="4"/>
  <c r="S150" i="4" s="1"/>
  <c r="R118" i="4"/>
  <c r="S118" i="4" s="1"/>
  <c r="R235" i="4"/>
  <c r="S235" i="4" s="1"/>
  <c r="R249" i="4"/>
  <c r="S249" i="4" s="1"/>
  <c r="R422" i="4"/>
  <c r="S422" i="4" s="1"/>
  <c r="R225" i="4"/>
  <c r="S225" i="4" s="1"/>
  <c r="R396" i="4"/>
  <c r="S396" i="4" s="1"/>
  <c r="R287" i="4"/>
  <c r="S287" i="4" s="1"/>
  <c r="R187" i="4"/>
  <c r="S187" i="4" s="1"/>
  <c r="R268" i="4"/>
  <c r="S268" i="4" s="1"/>
  <c r="R262" i="4"/>
  <c r="S262" i="4" s="1"/>
  <c r="R47" i="4"/>
  <c r="S47" i="4" s="1"/>
  <c r="R101" i="4"/>
  <c r="S101" i="4" s="1"/>
  <c r="R343" i="4"/>
  <c r="S343" i="4" s="1"/>
  <c r="R103" i="4"/>
  <c r="S103" i="4" s="1"/>
  <c r="R275" i="4"/>
  <c r="S275" i="4" s="1"/>
  <c r="R276" i="4"/>
  <c r="S276" i="4" s="1"/>
  <c r="R70" i="4"/>
  <c r="S70" i="4" s="1"/>
  <c r="R432" i="4"/>
  <c r="S432" i="4" s="1"/>
  <c r="R288" i="4"/>
  <c r="S288" i="4" s="1"/>
  <c r="R381" i="4"/>
  <c r="S381" i="4" s="1"/>
  <c r="R140" i="4"/>
  <c r="S140" i="4" s="1"/>
  <c r="R11" i="4"/>
  <c r="S11" i="4" s="1"/>
  <c r="R7" i="4"/>
  <c r="S7" i="4" s="1"/>
  <c r="R29" i="4"/>
  <c r="S29" i="4" s="1"/>
  <c r="R370" i="4"/>
  <c r="S370" i="4" s="1"/>
  <c r="R137" i="4"/>
  <c r="S137" i="4" s="1"/>
  <c r="R92" i="4"/>
  <c r="S92" i="4" s="1"/>
  <c r="R250" i="4"/>
  <c r="S250" i="4" s="1"/>
  <c r="R469" i="4"/>
  <c r="S469" i="4" s="1"/>
  <c r="R16" i="4"/>
  <c r="S16" i="4" s="1"/>
  <c r="R453" i="4"/>
  <c r="S453" i="4" s="1"/>
  <c r="R303" i="4"/>
  <c r="S303" i="4" s="1"/>
  <c r="R379" i="4"/>
  <c r="S379" i="4" s="1"/>
  <c r="R45" i="4"/>
  <c r="S45" i="4" s="1"/>
  <c r="R387" i="4"/>
  <c r="S387" i="4" s="1"/>
  <c r="R169" i="4"/>
  <c r="S169" i="4" s="1"/>
  <c r="R312" i="4"/>
  <c r="S312" i="4" s="1"/>
  <c r="R133" i="4"/>
  <c r="S133" i="4" s="1"/>
  <c r="R394" i="4"/>
  <c r="S394" i="4" s="1"/>
  <c r="R158" i="4"/>
  <c r="S158" i="4" s="1"/>
  <c r="R488" i="4"/>
  <c r="S488" i="4" s="1"/>
  <c r="R423" i="4"/>
  <c r="S423" i="4" s="1"/>
  <c r="R237" i="4"/>
  <c r="S237" i="4" s="1"/>
  <c r="R494" i="4"/>
  <c r="S494" i="4" s="1"/>
  <c r="R265" i="4"/>
  <c r="S265" i="4" s="1"/>
  <c r="R17" i="4"/>
  <c r="S17" i="4" s="1"/>
  <c r="R104" i="4"/>
  <c r="S104" i="4" s="1"/>
  <c r="R28" i="4"/>
  <c r="S28" i="4" s="1"/>
  <c r="R264" i="4"/>
  <c r="S264" i="4" s="1"/>
  <c r="R135" i="4"/>
  <c r="S135" i="4" s="1"/>
  <c r="R224" i="4"/>
  <c r="S224" i="4" s="1"/>
  <c r="R200" i="4"/>
  <c r="S200" i="4" s="1"/>
  <c r="R215" i="4"/>
  <c r="S215" i="4" s="1"/>
  <c r="R201" i="4"/>
  <c r="S201" i="4" s="1"/>
  <c r="R407" i="4"/>
  <c r="S407" i="4" s="1"/>
  <c r="R364" i="4"/>
  <c r="S364" i="4" s="1"/>
  <c r="R338" i="4"/>
  <c r="S338" i="4" s="1"/>
  <c r="R192" i="4"/>
  <c r="S192" i="4" s="1"/>
  <c r="R378" i="4"/>
  <c r="S378" i="4" s="1"/>
  <c r="R271" i="4"/>
  <c r="S271" i="4" s="1"/>
  <c r="R245" i="4"/>
  <c r="S245" i="4" s="1"/>
  <c r="R493" i="4"/>
  <c r="S493" i="4" s="1"/>
  <c r="R317" i="4"/>
  <c r="S317" i="4" s="1"/>
  <c r="R202" i="4"/>
  <c r="S202" i="4" s="1"/>
  <c r="R167" i="4"/>
  <c r="S167" i="4" s="1"/>
  <c r="R13" i="4"/>
  <c r="S13" i="4" s="1"/>
  <c r="R471" i="4"/>
  <c r="S471" i="4" s="1"/>
  <c r="R314" i="4"/>
  <c r="S314" i="4" s="1"/>
  <c r="R238" i="4"/>
  <c r="S238" i="4" s="1"/>
  <c r="R310" i="4"/>
  <c r="S310" i="4" s="1"/>
  <c r="R425" i="4"/>
  <c r="S425" i="4" s="1"/>
  <c r="R321" i="4"/>
  <c r="S321" i="4" s="1"/>
  <c r="R173" i="4"/>
  <c r="S173" i="4" s="1"/>
  <c r="R270" i="4"/>
  <c r="S270" i="4" s="1"/>
  <c r="R369" i="4"/>
  <c r="S369" i="4" s="1"/>
  <c r="R479" i="4"/>
  <c r="S479" i="4" s="1"/>
  <c r="R107" i="4"/>
  <c r="S107" i="4" s="1"/>
  <c r="R416" i="4"/>
  <c r="S416" i="4" s="1"/>
  <c r="R49" i="4"/>
  <c r="S49" i="4" s="1"/>
  <c r="R99" i="4"/>
  <c r="S99" i="4" s="1"/>
  <c r="R184" i="4"/>
  <c r="S184" i="4" s="1"/>
  <c r="R366" i="4"/>
  <c r="S366" i="4" s="1"/>
  <c r="R327" i="4"/>
  <c r="S327" i="4" s="1"/>
  <c r="R52" i="4"/>
  <c r="S52" i="4" s="1"/>
  <c r="R485" i="4"/>
  <c r="S485" i="4" s="1"/>
  <c r="R445" i="4"/>
  <c r="S445" i="4" s="1"/>
  <c r="R190" i="4"/>
  <c r="S190" i="4" s="1"/>
  <c r="R344" i="4"/>
  <c r="S344" i="4" s="1"/>
  <c r="R55" i="4"/>
  <c r="S55" i="4" s="1"/>
  <c r="R193" i="4"/>
  <c r="S193" i="4" s="1"/>
  <c r="R263" i="4"/>
  <c r="S263" i="4" s="1"/>
  <c r="R117" i="4"/>
  <c r="S117" i="4" s="1"/>
  <c r="R214" i="4"/>
  <c r="S214" i="4" s="1"/>
  <c r="R290" i="4"/>
  <c r="S290" i="4" s="1"/>
  <c r="R320" i="4"/>
  <c r="S320" i="4" s="1"/>
  <c r="R480" i="4"/>
  <c r="S480" i="4" s="1"/>
  <c r="R8" i="4"/>
  <c r="S8" i="4" s="1"/>
  <c r="R145" i="4"/>
  <c r="S145" i="4" s="1"/>
  <c r="R191" i="4"/>
  <c r="S191" i="4" s="1"/>
  <c r="R286" i="4"/>
  <c r="S286" i="4" s="1"/>
  <c r="R277" i="4"/>
  <c r="S277" i="4" s="1"/>
  <c r="R390" i="4"/>
  <c r="S390" i="4" s="1"/>
  <c r="R6" i="4"/>
  <c r="S6" i="4" s="1"/>
  <c r="R248" i="4"/>
  <c r="S248" i="4" s="1"/>
  <c r="R434" i="4"/>
  <c r="S434" i="4" s="1"/>
  <c r="R247" i="4"/>
  <c r="S247" i="4" s="1"/>
  <c r="R463" i="4"/>
  <c r="S463" i="4" s="1"/>
  <c r="R46" i="4"/>
  <c r="S46" i="4" s="1"/>
  <c r="R324" i="4"/>
  <c r="S324" i="4" s="1"/>
  <c r="R428" i="4"/>
  <c r="S428" i="4" s="1"/>
  <c r="R22" i="4"/>
  <c r="S22" i="4" s="1"/>
  <c r="R291" i="4"/>
  <c r="S291" i="4" s="1"/>
  <c r="R331" i="4"/>
  <c r="S331" i="4" s="1"/>
  <c r="R340" i="4"/>
  <c r="S340" i="4" s="1"/>
  <c r="R354" i="4"/>
  <c r="S354" i="4" s="1"/>
  <c r="R36" i="4"/>
  <c r="S36" i="4" s="1"/>
  <c r="R182" i="4"/>
  <c r="S182" i="4" s="1"/>
  <c r="R316" i="4"/>
  <c r="S316" i="4" s="1"/>
  <c r="R429" i="4"/>
  <c r="S429" i="4" s="1"/>
  <c r="R194" i="4"/>
  <c r="S194" i="4" s="1"/>
  <c r="R412" i="4"/>
  <c r="S412" i="4" s="1"/>
  <c r="R9" i="4"/>
  <c r="S9" i="4" s="1"/>
  <c r="R278" i="4"/>
  <c r="S278" i="4" s="1"/>
  <c r="R253" i="4"/>
  <c r="S253" i="4" s="1"/>
  <c r="R35" i="4"/>
  <c r="S35" i="4" s="1"/>
  <c r="R435" i="4"/>
  <c r="S435" i="4" s="1"/>
  <c r="R76" i="4"/>
  <c r="S76" i="4" s="1"/>
  <c r="R153" i="4"/>
  <c r="S153" i="4" s="1"/>
  <c r="R490" i="4"/>
  <c r="S490" i="4" s="1"/>
  <c r="R141" i="4"/>
  <c r="S141" i="4" s="1"/>
  <c r="R21" i="4"/>
  <c r="S21" i="4" s="1"/>
  <c r="R313" i="4"/>
  <c r="S313" i="4" s="1"/>
  <c r="R336" i="4"/>
  <c r="S336" i="4" s="1"/>
  <c r="R246" i="4"/>
  <c r="S246" i="4" s="1"/>
  <c r="R96" i="4"/>
  <c r="S96" i="4" s="1"/>
  <c r="R362" i="4"/>
  <c r="S362" i="4" s="1"/>
  <c r="R111" i="4"/>
  <c r="S111" i="4" s="1"/>
  <c r="R328" i="4"/>
  <c r="S328" i="4" s="1"/>
  <c r="R20" i="4"/>
  <c r="S20" i="4" s="1"/>
  <c r="R175" i="4"/>
  <c r="S175" i="4" s="1"/>
  <c r="R159" i="4"/>
  <c r="S159" i="4" s="1"/>
  <c r="R168" i="4"/>
  <c r="S168" i="4" s="1"/>
  <c r="R88" i="4"/>
  <c r="S88" i="4" s="1"/>
  <c r="R170" i="4"/>
  <c r="S170" i="4" s="1"/>
  <c r="R178" i="4"/>
  <c r="S178" i="4" s="1"/>
  <c r="R44" i="4"/>
  <c r="S44" i="4" s="1"/>
  <c r="R186" i="4"/>
  <c r="S186" i="4" s="1"/>
  <c r="R205" i="4"/>
  <c r="S205" i="4" s="1"/>
  <c r="R371" i="4"/>
  <c r="S371" i="4" s="1"/>
  <c r="R95" i="4"/>
  <c r="S95" i="4" s="1"/>
  <c r="R267" i="4"/>
  <c r="S267" i="4" s="1"/>
  <c r="R83" i="4"/>
  <c r="S83" i="4" s="1"/>
  <c r="R419" i="4"/>
  <c r="S419" i="4" s="1"/>
  <c r="R166" i="4"/>
  <c r="S166" i="4" s="1"/>
  <c r="R293" i="4"/>
  <c r="S293" i="4" s="1"/>
  <c r="R71" i="4"/>
  <c r="S71" i="4" s="1"/>
  <c r="R233" i="4"/>
  <c r="S233" i="4" s="1"/>
  <c r="R304" i="4"/>
  <c r="S304" i="4" s="1"/>
  <c r="R210" i="4"/>
  <c r="S210" i="4" s="1"/>
  <c r="R24" i="4"/>
  <c r="S24" i="4" s="1"/>
  <c r="R499" i="4"/>
  <c r="S499" i="4" s="1"/>
  <c r="R162" i="4"/>
  <c r="S162" i="4" s="1"/>
  <c r="R228" i="4"/>
  <c r="S228" i="4" s="1"/>
  <c r="R302" i="4"/>
  <c r="S302" i="4" s="1"/>
  <c r="R106" i="4"/>
  <c r="S106" i="4" s="1"/>
  <c r="R498" i="4"/>
  <c r="S498" i="4" s="1"/>
  <c r="R297" i="4"/>
  <c r="S297" i="4" s="1"/>
  <c r="R33" i="4"/>
  <c r="S33" i="4" s="1"/>
  <c r="R65" i="4"/>
  <c r="S65" i="4" s="1"/>
  <c r="R427" i="4"/>
  <c r="S427" i="4" s="1"/>
  <c r="R322" i="4"/>
  <c r="S322" i="4" s="1"/>
  <c r="R80" i="4"/>
  <c r="S80" i="4" s="1"/>
  <c r="R306" i="4"/>
  <c r="S306" i="4" s="1"/>
  <c r="R15" i="4"/>
  <c r="S15" i="4" s="1"/>
  <c r="R48" i="4"/>
  <c r="S48" i="4" s="1"/>
  <c r="R361" i="4"/>
  <c r="S361" i="4" s="1"/>
  <c r="R482" i="4"/>
  <c r="S482" i="4" s="1"/>
  <c r="R149" i="4"/>
  <c r="S149" i="4" s="1"/>
  <c r="R355" i="4"/>
  <c r="S355" i="4" s="1"/>
  <c r="R466" i="4"/>
  <c r="S466" i="4" s="1"/>
  <c r="R299" i="4"/>
  <c r="S299" i="4" s="1"/>
  <c r="R441" i="4"/>
  <c r="S441" i="4" s="1"/>
  <c r="R43" i="4"/>
  <c r="S43" i="4" s="1"/>
  <c r="R207" i="4"/>
  <c r="S207" i="4" s="1"/>
  <c r="R260" i="4"/>
  <c r="S260" i="4" s="1"/>
  <c r="R395" i="4"/>
  <c r="S395" i="4" s="1"/>
  <c r="R14" i="4"/>
  <c r="S14" i="4" s="1"/>
  <c r="R196" i="4"/>
  <c r="S196" i="4" s="1"/>
  <c r="R61" i="4"/>
  <c r="S61" i="4" s="1"/>
  <c r="R148" i="4"/>
  <c r="S148" i="4" s="1"/>
  <c r="R154" i="4"/>
  <c r="S154" i="4" s="1"/>
  <c r="R79" i="4"/>
  <c r="S79" i="4" s="1"/>
  <c r="R195" i="4"/>
  <c r="S195" i="4" s="1"/>
  <c r="R221" i="4"/>
  <c r="S221" i="4" s="1"/>
  <c r="R231" i="4"/>
  <c r="S231" i="4" s="1"/>
  <c r="R474" i="4"/>
  <c r="S474" i="4" s="1"/>
  <c r="R132" i="4"/>
  <c r="S132" i="4" s="1"/>
  <c r="R39" i="4"/>
  <c r="S39" i="4" s="1"/>
  <c r="R329" i="4"/>
  <c r="S329" i="4" s="1"/>
  <c r="R418" i="4"/>
  <c r="S418" i="4" s="1"/>
  <c r="R115" i="4"/>
  <c r="S115" i="4" s="1"/>
  <c r="R165" i="4"/>
  <c r="S165" i="4" s="1"/>
  <c r="R398" i="4"/>
  <c r="S398" i="4" s="1"/>
  <c r="R292" i="4"/>
  <c r="S292" i="4" s="1"/>
  <c r="R208" i="4"/>
  <c r="S208" i="4" s="1"/>
  <c r="R408" i="4"/>
  <c r="S408" i="4" s="1"/>
  <c r="R218" i="4"/>
  <c r="S218" i="4" s="1"/>
  <c r="R483" i="4"/>
  <c r="S483" i="4" s="1"/>
  <c r="R508" i="4" l="1"/>
  <c r="R509" i="4" s="1"/>
  <c r="R505" i="4"/>
  <c r="R507" i="4"/>
</calcChain>
</file>

<file path=xl/sharedStrings.xml><?xml version="1.0" encoding="utf-8"?>
<sst xmlns="http://schemas.openxmlformats.org/spreadsheetml/2006/main" count="442" uniqueCount="207">
  <si>
    <t>1 week of sale</t>
  </si>
  <si>
    <t>Uniform dist</t>
  </si>
  <si>
    <t>Expected sale=</t>
  </si>
  <si>
    <t>Cost=c=</t>
  </si>
  <si>
    <t>Selling price=p=</t>
  </si>
  <si>
    <t>$5 or $6</t>
  </si>
  <si>
    <t>Refund fraction=</t>
  </si>
  <si>
    <t>[0.25-0.75 scenarios]</t>
  </si>
  <si>
    <t>Return shipping=</t>
  </si>
  <si>
    <t>per unit</t>
  </si>
  <si>
    <t>K=</t>
  </si>
  <si>
    <t>per order</t>
  </si>
  <si>
    <t>Prize value=</t>
  </si>
  <si>
    <t>at $5 selling price</t>
  </si>
  <si>
    <t>Co=</t>
  </si>
  <si>
    <t>3-0.5*3+.5=</t>
  </si>
  <si>
    <t>Cu=</t>
  </si>
  <si>
    <t>5-3=</t>
  </si>
  <si>
    <t>F(X*)=</t>
  </si>
  <si>
    <t>Cu/(Cu+Co)=</t>
  </si>
  <si>
    <t>at $6 selling price</t>
  </si>
  <si>
    <t>6-3=</t>
  </si>
  <si>
    <t>X*=</t>
  </si>
  <si>
    <t>at 0.25 refund</t>
  </si>
  <si>
    <t>at 0.75 refund</t>
  </si>
  <si>
    <t>3-0.25*3+.5=</t>
  </si>
  <si>
    <t>3-0.75*3+.5=</t>
  </si>
  <si>
    <t>at 0.5 refund</t>
  </si>
  <si>
    <t>Units sold</t>
  </si>
  <si>
    <t>Left over units</t>
  </si>
  <si>
    <t>Revenue</t>
  </si>
  <si>
    <t>Setup cost</t>
  </si>
  <si>
    <t>Cost - Var</t>
  </si>
  <si>
    <t>Cost-shipping</t>
  </si>
  <si>
    <t>Refund</t>
  </si>
  <si>
    <t>Net Profit</t>
  </si>
  <si>
    <t>Demand</t>
  </si>
  <si>
    <t>S.no</t>
  </si>
  <si>
    <t>E[Profit]</t>
  </si>
  <si>
    <t>No. of instance of loss</t>
  </si>
  <si>
    <t>count of loss</t>
  </si>
  <si>
    <t>P(loss)=</t>
  </si>
  <si>
    <t>Leisure Limited awards $40,000 to the stand with highest sales. SparkFire estimates a</t>
  </si>
  <si>
    <t>5% chance of winning if actual sales are ≥400 units. Other states use 3% if actual sales</t>
  </si>
  <si>
    <t>≥380 or 7% if actual sales ≥420 are mentioned as context.</t>
  </si>
  <si>
    <t>(a) Modify your profit model to account for the possibility of awards.</t>
  </si>
  <si>
    <t>risk-seeking or risk-averse behavior.</t>
  </si>
  <si>
    <r>
      <t>(b) Find the new quantity Q</t>
    </r>
    <r>
      <rPr>
        <sz val="8"/>
        <color rgb="FF000000"/>
        <rFont val="Academy Engraved LET Plain:1.0"/>
      </rPr>
      <t xml:space="preserve">∗∗ </t>
    </r>
    <r>
      <rPr>
        <sz val="12"/>
        <color rgb="FF000000"/>
        <rFont val="Academy Engraved LET Plain:1.0"/>
      </rPr>
      <t>that maximizes total expected returns.</t>
    </r>
  </si>
  <si>
    <r>
      <t>(c) Compare Q</t>
    </r>
    <r>
      <rPr>
        <sz val="8"/>
        <color rgb="FF000000"/>
        <rFont val="Academy Engraved LET Plain:1.0"/>
      </rPr>
      <t xml:space="preserve">∗∗ </t>
    </r>
    <r>
      <rPr>
        <sz val="12"/>
        <color rgb="FF000000"/>
        <rFont val="Academy Engraved LET Plain:1.0"/>
      </rPr>
      <t>to Q</t>
    </r>
    <r>
      <rPr>
        <sz val="8"/>
        <color rgb="FF000000"/>
        <rFont val="Academy Engraved LET Plain:1.0"/>
      </rPr>
      <t xml:space="preserve">∗ </t>
    </r>
    <r>
      <rPr>
        <sz val="12"/>
        <color rgb="FF000000"/>
        <rFont val="Academy Engraved LET Plain:1.0"/>
      </rPr>
      <t>(from Part 2) and discuss how this incentive scheme encourages</t>
    </r>
  </si>
  <si>
    <r>
      <t>X*</t>
    </r>
    <r>
      <rPr>
        <vertAlign val="subscript"/>
        <sz val="14"/>
        <color theme="1"/>
        <rFont val="Academy Engraved LET Plain:1.0"/>
      </rPr>
      <t>$5,0.5</t>
    </r>
    <r>
      <rPr>
        <sz val="14"/>
        <color theme="1"/>
        <rFont val="Academy Engraved LET Plain:1.0"/>
      </rPr>
      <t>=</t>
    </r>
  </si>
  <si>
    <r>
      <t>X*</t>
    </r>
    <r>
      <rPr>
        <vertAlign val="subscript"/>
        <sz val="14"/>
        <color theme="1"/>
        <rFont val="Academy Engraved LET Plain:1.0"/>
      </rPr>
      <t>$6,0.5</t>
    </r>
    <r>
      <rPr>
        <sz val="14"/>
        <color theme="1"/>
        <rFont val="Academy Engraved LET Plain:1.0"/>
      </rPr>
      <t>=</t>
    </r>
  </si>
  <si>
    <r>
      <t>X*</t>
    </r>
    <r>
      <rPr>
        <vertAlign val="subscript"/>
        <sz val="14"/>
        <color theme="1"/>
        <rFont val="Academy Engraved LET Plain:1.0"/>
      </rPr>
      <t>$6,0.25</t>
    </r>
    <r>
      <rPr>
        <sz val="14"/>
        <color theme="1"/>
        <rFont val="Academy Engraved LET Plain:1.0"/>
      </rPr>
      <t>=</t>
    </r>
  </si>
  <si>
    <t>a)</t>
  </si>
  <si>
    <t>From 1,2,3 we have below X* at various Selling prices and fraction as refund</t>
  </si>
  <si>
    <t>X* at various fractions of refund</t>
  </si>
  <si>
    <t>Sellling Price</t>
  </si>
  <si>
    <t>Now below are the changes of winning</t>
  </si>
  <si>
    <t>Sales</t>
  </si>
  <si>
    <t>Probability of winning</t>
  </si>
  <si>
    <t>&gt;=400</t>
  </si>
  <si>
    <t>&gt;=380</t>
  </si>
  <si>
    <t>&gt;=420</t>
  </si>
  <si>
    <t xml:space="preserve">Correspond X* </t>
  </si>
  <si>
    <t>Nil</t>
  </si>
  <si>
    <t>Lets find X* with below add ons</t>
  </si>
  <si>
    <t>Co=3-0.5*3+.5=</t>
  </si>
  <si>
    <t>So F(X*)=</t>
  </si>
  <si>
    <t>at 0.5 refund fraction</t>
  </si>
  <si>
    <t>1. Assuming X* &gt;=380, then Addional revenue=40000*.03=</t>
  </si>
  <si>
    <t>Order Qty</t>
  </si>
  <si>
    <t>1-199</t>
  </si>
  <si>
    <t>200-399</t>
  </si>
  <si>
    <t>400+</t>
  </si>
  <si>
    <t>Unit cost</t>
  </si>
  <si>
    <t>Optimal qty at unit cost</t>
  </si>
  <si>
    <t>(@ $5 selling price)</t>
  </si>
  <si>
    <t>(@ $6 selling price)</t>
  </si>
  <si>
    <t>Comment</t>
  </si>
  <si>
    <t>Beyond order qty range for that cost</t>
  </si>
  <si>
    <t>Total cost at</t>
  </si>
  <si>
    <t>199 units=</t>
  </si>
  <si>
    <t>Cost Total</t>
  </si>
  <si>
    <t>Expected Sale qty</t>
  </si>
  <si>
    <t>Expected left over</t>
  </si>
  <si>
    <t>2.85-0.5*2.85+.5=</t>
  </si>
  <si>
    <t>within the range so this should be ordered</t>
  </si>
  <si>
    <t>Below the range of 400 so we use 400</t>
  </si>
  <si>
    <t>Salvage value</t>
  </si>
  <si>
    <t>Shipping cost</t>
  </si>
  <si>
    <t>Expected Sales=</t>
  </si>
  <si>
    <t>Expected left over=</t>
  </si>
  <si>
    <t>Expected revenue=</t>
  </si>
  <si>
    <t>Salvage value of left over=</t>
  </si>
  <si>
    <t>Shipping cost=</t>
  </si>
  <si>
    <t>Ordering cost=</t>
  </si>
  <si>
    <t>Expected Profit=</t>
  </si>
  <si>
    <t>Variable buying cost=</t>
  </si>
  <si>
    <t>The market signal demands are as follows</t>
  </si>
  <si>
    <t>f=</t>
  </si>
  <si>
    <t>Shipping=s=</t>
  </si>
  <si>
    <t>% of cost</t>
  </si>
  <si>
    <r>
      <t>Pre Season initial order Q</t>
    </r>
    <r>
      <rPr>
        <vertAlign val="subscript"/>
        <sz val="12"/>
        <color theme="1"/>
        <rFont val="Academy Engraved LET Plain:1.0"/>
      </rPr>
      <t>0</t>
    </r>
    <r>
      <rPr>
        <sz val="12"/>
        <color theme="1"/>
        <rFont val="Academy Engraved LET Plain:1.0"/>
      </rPr>
      <t xml:space="preserve"> cost c</t>
    </r>
    <r>
      <rPr>
        <vertAlign val="subscript"/>
        <sz val="12"/>
        <color theme="1"/>
        <rFont val="Academy Engraved LET Plain:1.0"/>
      </rPr>
      <t>0</t>
    </r>
    <r>
      <rPr>
        <sz val="12"/>
        <color theme="1"/>
        <rFont val="Academy Engraved LET Plain:1.0"/>
      </rPr>
      <t>=</t>
    </r>
  </si>
  <si>
    <t>Per order cost=</t>
  </si>
  <si>
    <t>(assuming this for both pre season and In season)</t>
  </si>
  <si>
    <r>
      <t>In season Expedited top up order Q</t>
    </r>
    <r>
      <rPr>
        <vertAlign val="subscript"/>
        <sz val="12"/>
        <color theme="1"/>
        <rFont val="Academy Engraved LET Plain:1.0"/>
      </rPr>
      <t>1</t>
    </r>
    <r>
      <rPr>
        <sz val="12"/>
        <color theme="1"/>
        <rFont val="Academy Engraved LET Plain:1.0"/>
      </rPr>
      <t>(S) cost c</t>
    </r>
    <r>
      <rPr>
        <vertAlign val="subscript"/>
        <sz val="12"/>
        <color theme="1"/>
        <rFont val="Academy Engraved LET Plain:1.0"/>
      </rPr>
      <t>1</t>
    </r>
    <r>
      <rPr>
        <sz val="12"/>
        <color theme="1"/>
        <rFont val="Academy Engraved LET Plain:1.0"/>
      </rPr>
      <t>=</t>
    </r>
  </si>
  <si>
    <t>(a)</t>
  </si>
  <si>
    <t>Lets make the payoff table. The states of nature are D⏐S=High  and D⏐S=Low</t>
  </si>
  <si>
    <t>Decision taken are Ordering optimal quantity basis S=High or S=Low at the beginning with no top up or order S=Low optimal with a top up to match S=High</t>
  </si>
  <si>
    <t>At pre season cost of $3.00</t>
  </si>
  <si>
    <t>Sale price=</t>
  </si>
  <si>
    <t>(assumption)</t>
  </si>
  <si>
    <r>
      <t>c</t>
    </r>
    <r>
      <rPr>
        <vertAlign val="subscript"/>
        <sz val="12"/>
        <color theme="1"/>
        <rFont val="Academy Engraved LET Plain:1.0"/>
      </rPr>
      <t>o</t>
    </r>
    <r>
      <rPr>
        <sz val="12"/>
        <color theme="1"/>
        <rFont val="Academy Engraved LET Plain:1.0"/>
      </rPr>
      <t>= 3-0.5*3+.5=</t>
    </r>
  </si>
  <si>
    <r>
      <t>c</t>
    </r>
    <r>
      <rPr>
        <vertAlign val="subscript"/>
        <sz val="12"/>
        <color theme="1"/>
        <rFont val="Academy Engraved LET Plain:1.0"/>
      </rPr>
      <t>u</t>
    </r>
    <r>
      <rPr>
        <sz val="12"/>
        <color theme="1"/>
        <rFont val="Academy Engraved LET Plain:1.0"/>
      </rPr>
      <t>=5-3=</t>
    </r>
  </si>
  <si>
    <r>
      <t>P(D≤Q</t>
    </r>
    <r>
      <rPr>
        <vertAlign val="subscript"/>
        <sz val="12"/>
        <color theme="1"/>
        <rFont val="Academy Engraved LET Plain:1.0"/>
      </rPr>
      <t>0</t>
    </r>
    <r>
      <rPr>
        <sz val="12"/>
        <color theme="1"/>
        <rFont val="Academy Engraved LET Plain:1.0"/>
      </rPr>
      <t>)=c</t>
    </r>
    <r>
      <rPr>
        <vertAlign val="subscript"/>
        <sz val="12"/>
        <color theme="1"/>
        <rFont val="Academy Engraved LET Plain:1.0"/>
      </rPr>
      <t>u</t>
    </r>
    <r>
      <rPr>
        <sz val="12"/>
        <color theme="1"/>
        <rFont val="Academy Engraved LET Plain:1.0"/>
      </rPr>
      <t>/(c</t>
    </r>
    <r>
      <rPr>
        <vertAlign val="subscript"/>
        <sz val="12"/>
        <color theme="1"/>
        <rFont val="Academy Engraved LET Plain:1.0"/>
      </rPr>
      <t>u</t>
    </r>
    <r>
      <rPr>
        <sz val="12"/>
        <color theme="1"/>
        <rFont val="Academy Engraved LET Plain:1.0"/>
      </rPr>
      <t>+c</t>
    </r>
    <r>
      <rPr>
        <vertAlign val="subscript"/>
        <sz val="12"/>
        <color theme="1"/>
        <rFont val="Academy Engraved LET Plain:1.0"/>
      </rPr>
      <t>o</t>
    </r>
    <r>
      <rPr>
        <sz val="12"/>
        <color theme="1"/>
        <rFont val="Academy Engraved LET Plain:1.0"/>
      </rPr>
      <t>)=</t>
    </r>
  </si>
  <si>
    <t>For D⏐S=High  single order</t>
  </si>
  <si>
    <t>for D⏐S=Low single order</t>
  </si>
  <si>
    <t>There are two ways to manager this, eigher have just a single pre-season order or have a pre season and then in season order</t>
  </si>
  <si>
    <t>This looks like a quantity discount problem except the inverse since at higher quantity, the cost is going up. So we can use a similar approach</t>
  </si>
  <si>
    <r>
      <t>c</t>
    </r>
    <r>
      <rPr>
        <vertAlign val="subscript"/>
        <sz val="12"/>
        <color theme="1"/>
        <rFont val="Academy Engraved LET Plain:1.0"/>
      </rPr>
      <t>o</t>
    </r>
    <r>
      <rPr>
        <sz val="12"/>
        <color theme="1"/>
        <rFont val="Academy Engraved LET Plain:1.0"/>
      </rPr>
      <t>= 3.6-0.5*3.6+.5=</t>
    </r>
  </si>
  <si>
    <r>
      <t>c</t>
    </r>
    <r>
      <rPr>
        <vertAlign val="subscript"/>
        <sz val="12"/>
        <color theme="1"/>
        <rFont val="Academy Engraved LET Plain:1.0"/>
      </rPr>
      <t>u</t>
    </r>
    <r>
      <rPr>
        <sz val="12"/>
        <color theme="1"/>
        <rFont val="Academy Engraved LET Plain:1.0"/>
      </rPr>
      <t>=5-3.6=</t>
    </r>
  </si>
  <si>
    <r>
      <t>for both pre and in season ordering, the pre order could be placed till Q</t>
    </r>
    <r>
      <rPr>
        <vertAlign val="subscript"/>
        <sz val="12"/>
        <color theme="1"/>
        <rFont val="Academy Engraved LET Plain:1.0"/>
      </rPr>
      <t>0/low</t>
    </r>
    <r>
      <rPr>
        <sz val="12"/>
        <color theme="1"/>
        <rFont val="Academy Engraved LET Plain:1.0"/>
      </rPr>
      <t xml:space="preserve"> or Q</t>
    </r>
    <r>
      <rPr>
        <vertAlign val="subscript"/>
        <sz val="12"/>
        <color theme="1"/>
        <rFont val="Academy Engraved LET Plain:1.0"/>
      </rPr>
      <t>0/high</t>
    </r>
    <r>
      <rPr>
        <sz val="12"/>
        <color theme="1"/>
        <rFont val="Academy Engraved LET Plain:1.0"/>
      </rPr>
      <t xml:space="preserve"> and then basis high signal, place the next order to add Q</t>
    </r>
    <r>
      <rPr>
        <vertAlign val="subscript"/>
        <sz val="12"/>
        <color theme="1"/>
        <rFont val="Academy Engraved LET Plain:1.0"/>
      </rPr>
      <t>1</t>
    </r>
  </si>
  <si>
    <r>
      <t>Lets find Q</t>
    </r>
    <r>
      <rPr>
        <vertAlign val="subscript"/>
        <sz val="12"/>
        <color theme="1"/>
        <rFont val="Academy Engraved LET Plain:1.0"/>
      </rPr>
      <t>2/high</t>
    </r>
    <r>
      <rPr>
        <sz val="12"/>
        <color theme="1"/>
        <rFont val="Academy Engraved LET Plain:1.0"/>
      </rPr>
      <t xml:space="preserve"> =Q</t>
    </r>
    <r>
      <rPr>
        <vertAlign val="subscript"/>
        <sz val="12"/>
        <color theme="1"/>
        <rFont val="Academy Engraved LET Plain:1.0"/>
      </rPr>
      <t>1</t>
    </r>
    <r>
      <rPr>
        <sz val="12"/>
        <color theme="1"/>
        <rFont val="Academy Engraved LET Plain:1.0"/>
      </rPr>
      <t>+Q</t>
    </r>
    <r>
      <rPr>
        <vertAlign val="subscript"/>
        <sz val="12"/>
        <color theme="1"/>
        <rFont val="Academy Engraved LET Plain:1.0"/>
      </rPr>
      <t>0</t>
    </r>
  </si>
  <si>
    <r>
      <t>(Q</t>
    </r>
    <r>
      <rPr>
        <vertAlign val="subscript"/>
        <sz val="12"/>
        <color theme="1"/>
        <rFont val="Academy Engraved LET Plain:1.0"/>
      </rPr>
      <t>0</t>
    </r>
    <r>
      <rPr>
        <sz val="12"/>
        <color theme="1"/>
        <rFont val="Academy Engraved LET Plain:1.0"/>
      </rPr>
      <t xml:space="preserve"> can be Q</t>
    </r>
    <r>
      <rPr>
        <vertAlign val="subscript"/>
        <sz val="12"/>
        <color theme="1"/>
        <rFont val="Academy Engraved LET Plain:1.0"/>
      </rPr>
      <t>0/high</t>
    </r>
    <r>
      <rPr>
        <sz val="12"/>
        <color theme="1"/>
        <rFont val="Academy Engraved LET Plain:1.0"/>
      </rPr>
      <t xml:space="preserve"> or Q</t>
    </r>
    <r>
      <rPr>
        <vertAlign val="subscript"/>
        <sz val="12"/>
        <color theme="1"/>
        <rFont val="Academy Engraved LET Plain:1.0"/>
      </rPr>
      <t>0/low</t>
    </r>
    <r>
      <rPr>
        <sz val="12"/>
        <color theme="1"/>
        <rFont val="Academy Engraved LET Plain:1.0"/>
      </rPr>
      <t>)</t>
    </r>
  </si>
  <si>
    <r>
      <t>Lets find Q</t>
    </r>
    <r>
      <rPr>
        <vertAlign val="subscript"/>
        <sz val="12"/>
        <color theme="1"/>
        <rFont val="Academy Engraved LET Plain:1.0"/>
      </rPr>
      <t>2/low</t>
    </r>
    <r>
      <rPr>
        <sz val="12"/>
        <color theme="1"/>
        <rFont val="Academy Engraved LET Plain:1.0"/>
      </rPr>
      <t xml:space="preserve"> =Q</t>
    </r>
    <r>
      <rPr>
        <vertAlign val="subscript"/>
        <sz val="12"/>
        <color theme="1"/>
        <rFont val="Academy Engraved LET Plain:1.0"/>
      </rPr>
      <t>1</t>
    </r>
    <r>
      <rPr>
        <sz val="12"/>
        <color theme="1"/>
        <rFont val="Academy Engraved LET Plain:1.0"/>
      </rPr>
      <t>+Q</t>
    </r>
    <r>
      <rPr>
        <vertAlign val="subscript"/>
        <sz val="12"/>
        <color theme="1"/>
        <rFont val="Academy Engraved LET Plain:1.0"/>
      </rPr>
      <t>0</t>
    </r>
  </si>
  <si>
    <r>
      <t>(Q</t>
    </r>
    <r>
      <rPr>
        <vertAlign val="subscript"/>
        <sz val="12"/>
        <color theme="1"/>
        <rFont val="Academy Engraved LET Plain:1.0"/>
      </rPr>
      <t>0</t>
    </r>
    <r>
      <rPr>
        <sz val="12"/>
        <color theme="1"/>
        <rFont val="Academy Engraved LET Plain:1.0"/>
      </rPr>
      <t xml:space="preserve"> can be  Q</t>
    </r>
    <r>
      <rPr>
        <vertAlign val="subscript"/>
        <sz val="12"/>
        <color theme="1"/>
        <rFont val="Academy Engraved LET Plain:1.0"/>
      </rPr>
      <t xml:space="preserve">0/low </t>
    </r>
    <r>
      <rPr>
        <sz val="12"/>
        <color theme="1"/>
        <rFont val="Academy Engraved LET Plain:1.0"/>
      </rPr>
      <t>only since Q</t>
    </r>
    <r>
      <rPr>
        <vertAlign val="subscript"/>
        <sz val="12"/>
        <color theme="1"/>
        <rFont val="Academy Engraved LET Plain:1.0"/>
      </rPr>
      <t>0/high</t>
    </r>
    <r>
      <rPr>
        <sz val="12"/>
        <color theme="1"/>
        <rFont val="Academy Engraved LET Plain:1.0"/>
      </rPr>
      <t xml:space="preserve"> is higher qty than Q</t>
    </r>
    <r>
      <rPr>
        <vertAlign val="subscript"/>
        <sz val="12"/>
        <color theme="1"/>
        <rFont val="Academy Engraved LET Plain:1.0"/>
      </rPr>
      <t>2/low</t>
    </r>
    <r>
      <rPr>
        <sz val="12"/>
        <color theme="1"/>
        <rFont val="Academy Engraved LET Plain:1.0"/>
      </rPr>
      <t>)</t>
    </r>
  </si>
  <si>
    <t>So pay off table</t>
  </si>
  <si>
    <t>D⏐High</t>
  </si>
  <si>
    <t>D⏐low</t>
  </si>
  <si>
    <t>States of Nature</t>
  </si>
  <si>
    <t>Expected Sales and left over</t>
  </si>
  <si>
    <t>Single order 330</t>
  </si>
  <si>
    <t>Single order 190</t>
  </si>
  <si>
    <t>Single order 207</t>
  </si>
  <si>
    <t>dual order 190, (352-190)</t>
  </si>
  <si>
    <t>Dual order 190, (330-190)</t>
  </si>
  <si>
    <t>Dual order 207, (352-207)</t>
  </si>
  <si>
    <t>Dual order 207, (330-207)</t>
  </si>
  <si>
    <t>Dual order 330,(352-330)</t>
  </si>
  <si>
    <t>Exp. Left over</t>
  </si>
  <si>
    <t>Exp. sales</t>
  </si>
  <si>
    <t>Single order 352</t>
  </si>
  <si>
    <t>=</t>
  </si>
  <si>
    <t>since min. demand is 240</t>
  </si>
  <si>
    <t>Since Qty ordered is &gt; Max demand</t>
  </si>
  <si>
    <t>Expected Profit</t>
  </si>
  <si>
    <t>Probability</t>
  </si>
  <si>
    <t>E(Profit)</t>
  </si>
  <si>
    <t>Now we order Q0 and then Q1. Let expected Sale be E(S)</t>
  </si>
  <si>
    <t>If E(S)&lt;=Q0</t>
  </si>
  <si>
    <t>E(S)*5</t>
  </si>
  <si>
    <t>Cost Var</t>
  </si>
  <si>
    <t>[Q0*3+Q1*3.6]</t>
  </si>
  <si>
    <t>[Q0-E(S)]*3*.5+Q1*3.6*.5</t>
  </si>
  <si>
    <t>[Q0+Q1-E(S)]*0.5</t>
  </si>
  <si>
    <t>Per order cost</t>
  </si>
  <si>
    <t>20*2</t>
  </si>
  <si>
    <t>If Q0 &lt;=E(S)&lt;=Q1+Q0</t>
  </si>
  <si>
    <t>[Q0+Q1-E(S)]*3.6*.5</t>
  </si>
  <si>
    <t>E[Revenue]</t>
  </si>
  <si>
    <t>E[Salvage Val]</t>
  </si>
  <si>
    <t>E[Shipping cost]</t>
  </si>
  <si>
    <t>E(S)*5+{[Q0-E(S)]*3*.5+Q1*3.6*.5}-{[Q0*3+Q1*3.6]}-{[Q0+Q1-E(S)]*0.5}-20*2</t>
  </si>
  <si>
    <t>a</t>
  </si>
  <si>
    <t>b</t>
  </si>
  <si>
    <t>c</t>
  </si>
  <si>
    <t>d</t>
  </si>
  <si>
    <t>e</t>
  </si>
  <si>
    <t>a+c-b-d-e</t>
  </si>
  <si>
    <t>E(S)*5+{[Q0+Q1-E(S)]*3.6*.5}-{[Q0*3+Q1*3.6]}-{[Q0+Q1-E(S)]*0.5}-20*2</t>
  </si>
  <si>
    <t>Dual order</t>
  </si>
  <si>
    <t>Single order</t>
  </si>
  <si>
    <t>Q0*3</t>
  </si>
  <si>
    <t>[Q0-E(S)]*3*.5</t>
  </si>
  <si>
    <t>[Q0-E(S)]*0.5</t>
  </si>
  <si>
    <t>E(S)*5+{[Q0-E(S)]*3*.5}-Q0*3-{[Q0-E(S)]*0.5}-20</t>
  </si>
  <si>
    <t>If E(S)&gt;Q0</t>
  </si>
  <si>
    <t>Q0*5</t>
  </si>
  <si>
    <t>Q0*(5-3)-20</t>
  </si>
  <si>
    <t>(b)</t>
  </si>
  <si>
    <t>(c)</t>
  </si>
  <si>
    <t>Dual order 190, (207-190)</t>
  </si>
  <si>
    <t>(d)</t>
  </si>
  <si>
    <t>VOSRC=</t>
  </si>
  <si>
    <t>So Not to pay anything</t>
  </si>
  <si>
    <t>Uniform distribution</t>
  </si>
  <si>
    <t xml:space="preserve">Suppose selling price is $5. So Cost of Underage=5-3=$2; Cost of overage=3+0.5-3*0.5=2. So the right balance would be at the mid point and hence 270. </t>
  </si>
  <si>
    <t xml:space="preserve">This is because for every unit extra we don’t sell, it would cost $2 and every unit shortage we have, we loos $2 as well. </t>
  </si>
  <si>
    <t>We need to find the spot where P(D&gt;=Q)=P(D&lt;=Q)=Mean demand for the uniform distribution and in this case it is 270</t>
  </si>
  <si>
    <t xml:space="preserve">At $6 selling price, the custo of Underage=6-3=$3 while the cost of overage remains the same at $2. So it hurts to loose sales than have overages. </t>
  </si>
  <si>
    <t>So in this case, the tendence would be to keep higher stock than mid point and hence more than 270</t>
  </si>
  <si>
    <t>At $5 selling price</t>
  </si>
  <si>
    <t>a.</t>
  </si>
  <si>
    <t>b.</t>
  </si>
  <si>
    <t>c.</t>
  </si>
  <si>
    <t>d.</t>
  </si>
  <si>
    <t>e.</t>
  </si>
  <si>
    <t>a+b+c+d+e</t>
  </si>
  <si>
    <t>Limitation of using uniform demand assumption:</t>
  </si>
  <si>
    <t>Would would happen if raising prices changes demand?</t>
  </si>
  <si>
    <t>Avg Profit[500 simulation]</t>
  </si>
  <si>
    <t>Std Dev of Profit</t>
  </si>
  <si>
    <t>overall; So per unit on 400 (minimum qty)=</t>
  </si>
  <si>
    <t>$per unit</t>
  </si>
  <si>
    <t>So Cu=5+5-3=</t>
  </si>
  <si>
    <t>overall; So per unit on 380 (minimum qty)=</t>
  </si>
  <si>
    <t>So Cu=5+3.2-3=</t>
  </si>
  <si>
    <t>1. Assuming sales &gt;=400, then Addional revenue=40000*.05=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</si>
</sst>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0.0"/>
  </numFmts>
  <fonts count="14">
    <font>
      <sz val="12"/>
      <color theme="1"/>
      <name val="Aptos Narrow"/>
      <family val="2"/>
      <scheme val="minor"/>
    </font>
    <font>
      <sz val="12"/>
      <color theme="1"/>
      <name val="Academy Engraved LET Plain:1.0"/>
    </font>
    <font>
      <sz val="14"/>
      <color theme="1"/>
      <name val="Academy Engraved LET Plain:1.0"/>
    </font>
    <font>
      <b/>
      <sz val="14"/>
      <color theme="1"/>
      <name val="Academy Engraved LET Plain:1.0"/>
    </font>
    <font>
      <u/>
      <sz val="14"/>
      <color theme="1"/>
      <name val="Academy Engraved LET Plain:1.0"/>
    </font>
    <font>
      <i/>
      <sz val="14"/>
      <color theme="1"/>
      <name val="Academy Engraved LET Plain:1.0"/>
    </font>
    <font>
      <sz val="12"/>
      <color rgb="FF000000"/>
      <name val="Academy Engraved LET Plain:1.0"/>
    </font>
    <font>
      <sz val="8"/>
      <color rgb="FF000000"/>
      <name val="Academy Engraved LET Plain:1.0"/>
    </font>
    <font>
      <vertAlign val="subscript"/>
      <sz val="14"/>
      <color theme="1"/>
      <name val="Academy Engraved LET Plain:1.0"/>
    </font>
    <font>
      <sz val="12"/>
      <color theme="1"/>
      <name val="Aptos Narrow"/>
      <family val="2"/>
      <scheme val="minor"/>
    </font>
    <font>
      <vertAlign val="subscript"/>
      <sz val="12"/>
      <color theme="1"/>
      <name val="Academy Engraved LET Plain:1.0"/>
    </font>
    <font>
      <b/>
      <sz val="12"/>
      <color theme="1"/>
      <name val="Academy Engraved LET Plain:1.0"/>
    </font>
    <font>
      <b/>
      <i/>
      <sz val="12"/>
      <color theme="1"/>
      <name val="Academy Engraved LET Plain:1.0"/>
    </font>
    <font>
      <b/>
      <sz val="14"/>
      <color rgb="FFFF0000"/>
      <name val="Academy Engraved LET Plain:1.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auto="1"/>
      </left>
      <right/>
      <top/>
      <bottom/>
      <diagonal/>
    </border>
    <border>
      <left/>
      <right/>
      <top/>
      <bottom style="dotted">
        <color auto="1"/>
      </bottom>
      <diagonal/>
    </border>
    <border>
      <left/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/>
      <top/>
      <bottom style="dotted">
        <color auto="1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6" fontId="9" fillId="0" borderId="0" applyFont="0" applyFill="0" applyBorder="0" applyAlignment="0" applyProtection="0"/>
  </cellStyleXfs>
  <cellXfs count="72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0" fontId="2" fillId="2" borderId="0" xfId="0" applyFont="1" applyFill="1"/>
    <xf numFmtId="165" fontId="2" fillId="2" borderId="0" xfId="0" applyNumberFormat="1" applyFont="1" applyFill="1"/>
    <xf numFmtId="16" fontId="2" fillId="2" borderId="0" xfId="0" applyNumberFormat="1" applyFont="1" applyFill="1"/>
    <xf numFmtId="0" fontId="3" fillId="2" borderId="0" xfId="0" applyFont="1" applyFill="1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165" fontId="2" fillId="2" borderId="0" xfId="0" applyNumberFormat="1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 applyAlignment="1">
      <alignment horizontal="right"/>
    </xf>
    <xf numFmtId="165" fontId="3" fillId="2" borderId="0" xfId="0" applyNumberFormat="1" applyFont="1" applyFill="1"/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6" fillId="0" borderId="0" xfId="0" applyFont="1"/>
    <xf numFmtId="0" fontId="3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horizontal="right"/>
    </xf>
    <xf numFmtId="0" fontId="1" fillId="2" borderId="1" xfId="0" applyFont="1" applyFill="1" applyBorder="1"/>
    <xf numFmtId="164" fontId="1" fillId="2" borderId="2" xfId="0" applyNumberFormat="1" applyFont="1" applyFill="1" applyBorder="1"/>
    <xf numFmtId="164" fontId="1" fillId="2" borderId="3" xfId="0" applyNumberFormat="1" applyFont="1" applyFill="1" applyBorder="1"/>
    <xf numFmtId="9" fontId="1" fillId="2" borderId="0" xfId="0" applyNumberFormat="1" applyFont="1" applyFill="1"/>
    <xf numFmtId="0" fontId="1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left"/>
    </xf>
    <xf numFmtId="1" fontId="1" fillId="2" borderId="0" xfId="0" applyNumberFormat="1" applyFont="1" applyFill="1"/>
    <xf numFmtId="167" fontId="1" fillId="2" borderId="0" xfId="0" applyNumberFormat="1" applyFont="1" applyFill="1"/>
    <xf numFmtId="1" fontId="1" fillId="2" borderId="0" xfId="0" applyNumberFormat="1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5" fontId="1" fillId="2" borderId="5" xfId="0" applyNumberFormat="1" applyFont="1" applyFill="1" applyBorder="1" applyAlignment="1">
      <alignment horizontal="center"/>
    </xf>
    <xf numFmtId="0" fontId="1" fillId="2" borderId="3" xfId="0" applyFont="1" applyFill="1" applyBorder="1"/>
    <xf numFmtId="0" fontId="1" fillId="2" borderId="5" xfId="0" applyFont="1" applyFill="1" applyBorder="1"/>
    <xf numFmtId="1" fontId="1" fillId="2" borderId="5" xfId="0" applyNumberFormat="1" applyFont="1" applyFill="1" applyBorder="1" applyAlignment="1">
      <alignment horizontal="center"/>
    </xf>
    <xf numFmtId="0" fontId="1" fillId="2" borderId="4" xfId="0" applyFont="1" applyFill="1" applyBorder="1"/>
    <xf numFmtId="1" fontId="1" fillId="2" borderId="3" xfId="0" applyNumberFormat="1" applyFont="1" applyFill="1" applyBorder="1"/>
    <xf numFmtId="165" fontId="1" fillId="2" borderId="5" xfId="0" applyNumberFormat="1" applyFont="1" applyFill="1" applyBorder="1"/>
    <xf numFmtId="164" fontId="2" fillId="2" borderId="0" xfId="0" applyNumberFormat="1" applyFont="1" applyFill="1"/>
    <xf numFmtId="166" fontId="1" fillId="2" borderId="0" xfId="1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2" fontId="1" fillId="2" borderId="0" xfId="0" applyNumberFormat="1" applyFont="1" applyFill="1" applyAlignment="1">
      <alignment horizontal="left"/>
    </xf>
    <xf numFmtId="1" fontId="1" fillId="2" borderId="0" xfId="0" applyNumberFormat="1" applyFont="1" applyFill="1" applyAlignment="1">
      <alignment horizontal="left"/>
    </xf>
    <xf numFmtId="0" fontId="11" fillId="2" borderId="0" xfId="0" applyFont="1" applyFill="1"/>
    <xf numFmtId="0" fontId="1" fillId="2" borderId="8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" fontId="1" fillId="2" borderId="7" xfId="0" applyNumberFormat="1" applyFont="1" applyFill="1" applyBorder="1" applyAlignment="1">
      <alignment horizontal="center"/>
    </xf>
    <xf numFmtId="0" fontId="1" fillId="2" borderId="0" xfId="0" quotePrefix="1" applyFont="1" applyFill="1" applyAlignment="1">
      <alignment horizontal="right"/>
    </xf>
    <xf numFmtId="0" fontId="1" fillId="2" borderId="11" xfId="0" applyFont="1" applyFill="1" applyBorder="1"/>
    <xf numFmtId="0" fontId="1" fillId="2" borderId="11" xfId="0" applyFont="1" applyFill="1" applyBorder="1" applyAlignment="1">
      <alignment horizontal="right"/>
    </xf>
    <xf numFmtId="1" fontId="1" fillId="2" borderId="11" xfId="0" applyNumberFormat="1" applyFont="1" applyFill="1" applyBorder="1" applyAlignment="1">
      <alignment horizontal="center"/>
    </xf>
    <xf numFmtId="1" fontId="1" fillId="2" borderId="11" xfId="0" applyNumberFormat="1" applyFont="1" applyFill="1" applyBorder="1"/>
    <xf numFmtId="1" fontId="11" fillId="2" borderId="0" xfId="0" applyNumberFormat="1" applyFont="1" applyFill="1" applyAlignment="1">
      <alignment horizontal="center"/>
    </xf>
    <xf numFmtId="0" fontId="2" fillId="2" borderId="0" xfId="0" quotePrefix="1" applyFont="1" applyFill="1" applyAlignment="1">
      <alignment horizontal="right"/>
    </xf>
    <xf numFmtId="0" fontId="13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'5'!$J$4</c:f>
              <c:strCache>
                <c:ptCount val="1"/>
                <c:pt idx="0">
                  <c:v>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FF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'5'!$J$5:$J$504</c:f>
              <c:numCache>
                <c:formatCode>0</c:formatCode>
                <c:ptCount val="500"/>
                <c:pt idx="0">
                  <c:v>280.42643543126746</c:v>
                </c:pt>
                <c:pt idx="1">
                  <c:v>151.08885449691286</c:v>
                </c:pt>
                <c:pt idx="2">
                  <c:v>225.07690773286168</c:v>
                </c:pt>
                <c:pt idx="3">
                  <c:v>314.19296995222993</c:v>
                </c:pt>
                <c:pt idx="4">
                  <c:v>294.39881593950929</c:v>
                </c:pt>
                <c:pt idx="5">
                  <c:v>243.15940095399949</c:v>
                </c:pt>
                <c:pt idx="6">
                  <c:v>403.21710947672449</c:v>
                </c:pt>
                <c:pt idx="7">
                  <c:v>252.63719252172856</c:v>
                </c:pt>
                <c:pt idx="8">
                  <c:v>227.20731455954439</c:v>
                </c:pt>
                <c:pt idx="9">
                  <c:v>215.36933860136634</c:v>
                </c:pt>
                <c:pt idx="10">
                  <c:v>279.66767937142106</c:v>
                </c:pt>
                <c:pt idx="11">
                  <c:v>240.06513945796246</c:v>
                </c:pt>
                <c:pt idx="12">
                  <c:v>307.22580169846253</c:v>
                </c:pt>
                <c:pt idx="13">
                  <c:v>294.61527483776968</c:v>
                </c:pt>
                <c:pt idx="14">
                  <c:v>258.77872468571599</c:v>
                </c:pt>
                <c:pt idx="15">
                  <c:v>125.71438822382422</c:v>
                </c:pt>
                <c:pt idx="16">
                  <c:v>204.36986755884686</c:v>
                </c:pt>
                <c:pt idx="17">
                  <c:v>239.9209172099475</c:v>
                </c:pt>
                <c:pt idx="18">
                  <c:v>417.18961368659171</c:v>
                </c:pt>
                <c:pt idx="19">
                  <c:v>386.53681740598881</c:v>
                </c:pt>
                <c:pt idx="20">
                  <c:v>189.70840402663856</c:v>
                </c:pt>
                <c:pt idx="21">
                  <c:v>132.01556101599206</c:v>
                </c:pt>
                <c:pt idx="22">
                  <c:v>157.39177460671058</c:v>
                </c:pt>
                <c:pt idx="23">
                  <c:v>405.49312059892105</c:v>
                </c:pt>
                <c:pt idx="24">
                  <c:v>264.4548841569848</c:v>
                </c:pt>
                <c:pt idx="25">
                  <c:v>160.51399088213893</c:v>
                </c:pt>
                <c:pt idx="26">
                  <c:v>341.74206135304485</c:v>
                </c:pt>
                <c:pt idx="27">
                  <c:v>166.76459016865405</c:v>
                </c:pt>
                <c:pt idx="28">
                  <c:v>308.26752457098894</c:v>
                </c:pt>
                <c:pt idx="29">
                  <c:v>417.80650392654741</c:v>
                </c:pt>
                <c:pt idx="30">
                  <c:v>328.42495741536345</c:v>
                </c:pt>
                <c:pt idx="31">
                  <c:v>265.30900393439401</c:v>
                </c:pt>
                <c:pt idx="32">
                  <c:v>324.80697139175487</c:v>
                </c:pt>
                <c:pt idx="33">
                  <c:v>399.14422648621678</c:v>
                </c:pt>
                <c:pt idx="34">
                  <c:v>239.39674094290643</c:v>
                </c:pt>
                <c:pt idx="35">
                  <c:v>362.65035669383326</c:v>
                </c:pt>
                <c:pt idx="36">
                  <c:v>228.35179287694967</c:v>
                </c:pt>
                <c:pt idx="37">
                  <c:v>302.2303254842501</c:v>
                </c:pt>
                <c:pt idx="38">
                  <c:v>246.04896881312817</c:v>
                </c:pt>
                <c:pt idx="39">
                  <c:v>300.63667398851533</c:v>
                </c:pt>
                <c:pt idx="40">
                  <c:v>405.05052066382228</c:v>
                </c:pt>
                <c:pt idx="41">
                  <c:v>362.26850513901138</c:v>
                </c:pt>
                <c:pt idx="42">
                  <c:v>396.69093199989231</c:v>
                </c:pt>
                <c:pt idx="43">
                  <c:v>339.88925558388797</c:v>
                </c:pt>
                <c:pt idx="44">
                  <c:v>353.05787831113571</c:v>
                </c:pt>
                <c:pt idx="45">
                  <c:v>162.06381699558216</c:v>
                </c:pt>
                <c:pt idx="46">
                  <c:v>133.5577025300102</c:v>
                </c:pt>
                <c:pt idx="47">
                  <c:v>161.90395870679706</c:v>
                </c:pt>
                <c:pt idx="48">
                  <c:v>331.9660245580643</c:v>
                </c:pt>
                <c:pt idx="49">
                  <c:v>396.92387228259184</c:v>
                </c:pt>
                <c:pt idx="50">
                  <c:v>385.01101054145022</c:v>
                </c:pt>
                <c:pt idx="51">
                  <c:v>123.88668048364154</c:v>
                </c:pt>
                <c:pt idx="52">
                  <c:v>165.79222177842192</c:v>
                </c:pt>
                <c:pt idx="53">
                  <c:v>344.70720358213714</c:v>
                </c:pt>
                <c:pt idx="54">
                  <c:v>248.66167159075607</c:v>
                </c:pt>
                <c:pt idx="55">
                  <c:v>161.57266877677063</c:v>
                </c:pt>
                <c:pt idx="56">
                  <c:v>397.21397473378335</c:v>
                </c:pt>
                <c:pt idx="57">
                  <c:v>164.00117250277739</c:v>
                </c:pt>
                <c:pt idx="58">
                  <c:v>123.50059796902727</c:v>
                </c:pt>
                <c:pt idx="59">
                  <c:v>196.59260894870425</c:v>
                </c:pt>
                <c:pt idx="60">
                  <c:v>372.11510762497267</c:v>
                </c:pt>
                <c:pt idx="61">
                  <c:v>347.53684890154568</c:v>
                </c:pt>
                <c:pt idx="62">
                  <c:v>150.24088388183037</c:v>
                </c:pt>
                <c:pt idx="63">
                  <c:v>260.72971028001945</c:v>
                </c:pt>
                <c:pt idx="64">
                  <c:v>318.02894703803685</c:v>
                </c:pt>
                <c:pt idx="65">
                  <c:v>379.79143863433029</c:v>
                </c:pt>
                <c:pt idx="66">
                  <c:v>144.74628644209528</c:v>
                </c:pt>
                <c:pt idx="67">
                  <c:v>263.94006693480446</c:v>
                </c:pt>
                <c:pt idx="68">
                  <c:v>129.43904429832133</c:v>
                </c:pt>
                <c:pt idx="69">
                  <c:v>307.11007995349632</c:v>
                </c:pt>
                <c:pt idx="70">
                  <c:v>364.76956773969158</c:v>
                </c:pt>
                <c:pt idx="71">
                  <c:v>252.26854174653158</c:v>
                </c:pt>
                <c:pt idx="72">
                  <c:v>272.80381804364265</c:v>
                </c:pt>
                <c:pt idx="73">
                  <c:v>333.95300854313371</c:v>
                </c:pt>
                <c:pt idx="74">
                  <c:v>218.20372681356434</c:v>
                </c:pt>
                <c:pt idx="75">
                  <c:v>318.10128390763657</c:v>
                </c:pt>
                <c:pt idx="76">
                  <c:v>267.69857782201922</c:v>
                </c:pt>
                <c:pt idx="77">
                  <c:v>167.01542657851934</c:v>
                </c:pt>
                <c:pt idx="78">
                  <c:v>180.88762667888176</c:v>
                </c:pt>
                <c:pt idx="79">
                  <c:v>371.49488778684338</c:v>
                </c:pt>
                <c:pt idx="80">
                  <c:v>204.43012505336335</c:v>
                </c:pt>
                <c:pt idx="81">
                  <c:v>131.45495992770449</c:v>
                </c:pt>
                <c:pt idx="82">
                  <c:v>264.68340991445996</c:v>
                </c:pt>
                <c:pt idx="83">
                  <c:v>214.66940371264286</c:v>
                </c:pt>
                <c:pt idx="84">
                  <c:v>270.31870498202909</c:v>
                </c:pt>
                <c:pt idx="85">
                  <c:v>215.47927023054331</c:v>
                </c:pt>
                <c:pt idx="86">
                  <c:v>231.38055553884246</c:v>
                </c:pt>
                <c:pt idx="87">
                  <c:v>279.93936632072462</c:v>
                </c:pt>
                <c:pt idx="88">
                  <c:v>151.77058140623043</c:v>
                </c:pt>
                <c:pt idx="89">
                  <c:v>186.09757100132566</c:v>
                </c:pt>
                <c:pt idx="90">
                  <c:v>263.43843665790746</c:v>
                </c:pt>
                <c:pt idx="91">
                  <c:v>314.65569535205208</c:v>
                </c:pt>
                <c:pt idx="92">
                  <c:v>124.53070099410104</c:v>
                </c:pt>
                <c:pt idx="93">
                  <c:v>237.74357343235471</c:v>
                </c:pt>
                <c:pt idx="94">
                  <c:v>281.29767709968291</c:v>
                </c:pt>
                <c:pt idx="95">
                  <c:v>274.34206660004975</c:v>
                </c:pt>
                <c:pt idx="96">
                  <c:v>250.09888438600504</c:v>
                </c:pt>
                <c:pt idx="97">
                  <c:v>142.30037884170721</c:v>
                </c:pt>
                <c:pt idx="98">
                  <c:v>336.31581353407148</c:v>
                </c:pt>
                <c:pt idx="99">
                  <c:v>199.41099477465016</c:v>
                </c:pt>
                <c:pt idx="100">
                  <c:v>136.45551618368052</c:v>
                </c:pt>
                <c:pt idx="101">
                  <c:v>152.16999330466084</c:v>
                </c:pt>
                <c:pt idx="102">
                  <c:v>213.84102238719592</c:v>
                </c:pt>
                <c:pt idx="103">
                  <c:v>312.39002707457388</c:v>
                </c:pt>
                <c:pt idx="104">
                  <c:v>161.66908992491852</c:v>
                </c:pt>
                <c:pt idx="105">
                  <c:v>143.91913336663524</c:v>
                </c:pt>
                <c:pt idx="106">
                  <c:v>225.36767573321538</c:v>
                </c:pt>
                <c:pt idx="107">
                  <c:v>313.81843484849082</c:v>
                </c:pt>
                <c:pt idx="108">
                  <c:v>297.3530239112759</c:v>
                </c:pt>
                <c:pt idx="109">
                  <c:v>156.41599138201957</c:v>
                </c:pt>
                <c:pt idx="110">
                  <c:v>296.04138398058035</c:v>
                </c:pt>
                <c:pt idx="111">
                  <c:v>388.95694996132642</c:v>
                </c:pt>
                <c:pt idx="112">
                  <c:v>373.52351001265436</c:v>
                </c:pt>
                <c:pt idx="113">
                  <c:v>167.43461325277218</c:v>
                </c:pt>
                <c:pt idx="114">
                  <c:v>136.88697899999531</c:v>
                </c:pt>
                <c:pt idx="115">
                  <c:v>296.44891600926439</c:v>
                </c:pt>
                <c:pt idx="116">
                  <c:v>409.88079360240488</c:v>
                </c:pt>
                <c:pt idx="117">
                  <c:v>161.08359724276337</c:v>
                </c:pt>
                <c:pt idx="118">
                  <c:v>122.12919253297832</c:v>
                </c:pt>
                <c:pt idx="119">
                  <c:v>193.49082936266456</c:v>
                </c:pt>
                <c:pt idx="120">
                  <c:v>123.39014499359055</c:v>
                </c:pt>
                <c:pt idx="121">
                  <c:v>209.70945266531774</c:v>
                </c:pt>
                <c:pt idx="122">
                  <c:v>290.4694897345471</c:v>
                </c:pt>
                <c:pt idx="123">
                  <c:v>359.62047106473221</c:v>
                </c:pt>
                <c:pt idx="124">
                  <c:v>208.57307676370289</c:v>
                </c:pt>
                <c:pt idx="125">
                  <c:v>184.51603831561997</c:v>
                </c:pt>
                <c:pt idx="126">
                  <c:v>337.9746592718684</c:v>
                </c:pt>
                <c:pt idx="127">
                  <c:v>417.8409558573897</c:v>
                </c:pt>
                <c:pt idx="128">
                  <c:v>297.23615239074803</c:v>
                </c:pt>
                <c:pt idx="129">
                  <c:v>239.65423694648189</c:v>
                </c:pt>
                <c:pt idx="130">
                  <c:v>203.99058480440146</c:v>
                </c:pt>
                <c:pt idx="131">
                  <c:v>342.12674743731066</c:v>
                </c:pt>
                <c:pt idx="132">
                  <c:v>225.71060117166263</c:v>
                </c:pt>
                <c:pt idx="133">
                  <c:v>263.51030014674598</c:v>
                </c:pt>
                <c:pt idx="134">
                  <c:v>263.57778814426854</c:v>
                </c:pt>
                <c:pt idx="135">
                  <c:v>353.41818350489223</c:v>
                </c:pt>
                <c:pt idx="136">
                  <c:v>401.25667278047388</c:v>
                </c:pt>
                <c:pt idx="137">
                  <c:v>338.43767813079455</c:v>
                </c:pt>
                <c:pt idx="138">
                  <c:v>221.25601805940408</c:v>
                </c:pt>
                <c:pt idx="139">
                  <c:v>363.21691741041684</c:v>
                </c:pt>
                <c:pt idx="140">
                  <c:v>280.37307412199556</c:v>
                </c:pt>
                <c:pt idx="141">
                  <c:v>283.6472802959903</c:v>
                </c:pt>
                <c:pt idx="142">
                  <c:v>185.65468505874446</c:v>
                </c:pt>
                <c:pt idx="143">
                  <c:v>140.42599635412009</c:v>
                </c:pt>
                <c:pt idx="144">
                  <c:v>168.95932346363614</c:v>
                </c:pt>
                <c:pt idx="145">
                  <c:v>391.40522471931507</c:v>
                </c:pt>
                <c:pt idx="146">
                  <c:v>185.18033876299285</c:v>
                </c:pt>
                <c:pt idx="147">
                  <c:v>395.46856678968095</c:v>
                </c:pt>
                <c:pt idx="148">
                  <c:v>180.64686161894844</c:v>
                </c:pt>
                <c:pt idx="149">
                  <c:v>390.54651159444882</c:v>
                </c:pt>
                <c:pt idx="150">
                  <c:v>124.76546196703833</c:v>
                </c:pt>
                <c:pt idx="151">
                  <c:v>192.47354976891518</c:v>
                </c:pt>
                <c:pt idx="152">
                  <c:v>170.47906534473515</c:v>
                </c:pt>
                <c:pt idx="153">
                  <c:v>377.57093171265382</c:v>
                </c:pt>
                <c:pt idx="154">
                  <c:v>142.77480749188587</c:v>
                </c:pt>
                <c:pt idx="155">
                  <c:v>246.66923118172846</c:v>
                </c:pt>
                <c:pt idx="156">
                  <c:v>371.06135632606635</c:v>
                </c:pt>
                <c:pt idx="157">
                  <c:v>378.12568046199988</c:v>
                </c:pt>
                <c:pt idx="158">
                  <c:v>168.6009173368449</c:v>
                </c:pt>
                <c:pt idx="159">
                  <c:v>264.45976369633206</c:v>
                </c:pt>
                <c:pt idx="160">
                  <c:v>219.3931586896021</c:v>
                </c:pt>
                <c:pt idx="161">
                  <c:v>250.42337952678901</c:v>
                </c:pt>
                <c:pt idx="162">
                  <c:v>201.33638582873573</c:v>
                </c:pt>
                <c:pt idx="163">
                  <c:v>177.94818243876688</c:v>
                </c:pt>
                <c:pt idx="164">
                  <c:v>160.43683763527338</c:v>
                </c:pt>
                <c:pt idx="165">
                  <c:v>338.0621280628161</c:v>
                </c:pt>
                <c:pt idx="166">
                  <c:v>280.15977530513453</c:v>
                </c:pt>
                <c:pt idx="167">
                  <c:v>173.36853371130249</c:v>
                </c:pt>
                <c:pt idx="168">
                  <c:v>144.01131953085613</c:v>
                </c:pt>
                <c:pt idx="169">
                  <c:v>268.72727029850057</c:v>
                </c:pt>
                <c:pt idx="170">
                  <c:v>320.06192806870098</c:v>
                </c:pt>
                <c:pt idx="171">
                  <c:v>290.38130433728361</c:v>
                </c:pt>
                <c:pt idx="172">
                  <c:v>174.76194741542815</c:v>
                </c:pt>
                <c:pt idx="173">
                  <c:v>171.26553398097781</c:v>
                </c:pt>
                <c:pt idx="174">
                  <c:v>375.11043681620606</c:v>
                </c:pt>
                <c:pt idx="175">
                  <c:v>395.53595518195493</c:v>
                </c:pt>
                <c:pt idx="176">
                  <c:v>339.89710994166467</c:v>
                </c:pt>
                <c:pt idx="177">
                  <c:v>410.68614047083827</c:v>
                </c:pt>
                <c:pt idx="178">
                  <c:v>120.55425112783387</c:v>
                </c:pt>
                <c:pt idx="179">
                  <c:v>130.29363228016626</c:v>
                </c:pt>
                <c:pt idx="180">
                  <c:v>352.41470762688562</c:v>
                </c:pt>
                <c:pt idx="181">
                  <c:v>239.3336998272288</c:v>
                </c:pt>
                <c:pt idx="182">
                  <c:v>298.28408654677838</c:v>
                </c:pt>
                <c:pt idx="183">
                  <c:v>209.27872727782483</c:v>
                </c:pt>
                <c:pt idx="184">
                  <c:v>386.70236641472189</c:v>
                </c:pt>
                <c:pt idx="185">
                  <c:v>129.46807700217448</c:v>
                </c:pt>
                <c:pt idx="186">
                  <c:v>390.53063910712626</c:v>
                </c:pt>
                <c:pt idx="187">
                  <c:v>378.48655030249313</c:v>
                </c:pt>
                <c:pt idx="188">
                  <c:v>296.83101279496168</c:v>
                </c:pt>
                <c:pt idx="189">
                  <c:v>325.81276598499056</c:v>
                </c:pt>
                <c:pt idx="190">
                  <c:v>417.6460032591682</c:v>
                </c:pt>
                <c:pt idx="191">
                  <c:v>316.88024924038632</c:v>
                </c:pt>
                <c:pt idx="192">
                  <c:v>123.38268984840354</c:v>
                </c:pt>
                <c:pt idx="193">
                  <c:v>247.04921345533955</c:v>
                </c:pt>
                <c:pt idx="194">
                  <c:v>243.64651999115563</c:v>
                </c:pt>
                <c:pt idx="195">
                  <c:v>342.799408164174</c:v>
                </c:pt>
                <c:pt idx="196">
                  <c:v>220.10416115054556</c:v>
                </c:pt>
                <c:pt idx="197">
                  <c:v>210.55123837820076</c:v>
                </c:pt>
                <c:pt idx="198">
                  <c:v>217.07947044551162</c:v>
                </c:pt>
                <c:pt idx="199">
                  <c:v>190.57316599361775</c:v>
                </c:pt>
                <c:pt idx="200">
                  <c:v>328.9680478892991</c:v>
                </c:pt>
                <c:pt idx="201">
                  <c:v>188.18093915071918</c:v>
                </c:pt>
                <c:pt idx="202">
                  <c:v>255.03965068845122</c:v>
                </c:pt>
                <c:pt idx="203">
                  <c:v>251.4825073898902</c:v>
                </c:pt>
                <c:pt idx="204">
                  <c:v>325.43289635707771</c:v>
                </c:pt>
                <c:pt idx="205">
                  <c:v>389.99992592518805</c:v>
                </c:pt>
                <c:pt idx="206">
                  <c:v>140.94784631558258</c:v>
                </c:pt>
                <c:pt idx="207">
                  <c:v>144.65449773036394</c:v>
                </c:pt>
                <c:pt idx="208">
                  <c:v>327.03830981231965</c:v>
                </c:pt>
                <c:pt idx="209">
                  <c:v>178.60151179383445</c:v>
                </c:pt>
                <c:pt idx="210">
                  <c:v>340.16306830226335</c:v>
                </c:pt>
                <c:pt idx="211">
                  <c:v>205.32970106032525</c:v>
                </c:pt>
                <c:pt idx="212">
                  <c:v>265.48793062620342</c:v>
                </c:pt>
                <c:pt idx="213">
                  <c:v>351.14569326740883</c:v>
                </c:pt>
                <c:pt idx="214">
                  <c:v>410.41691402781606</c:v>
                </c:pt>
                <c:pt idx="215">
                  <c:v>391.27323766622419</c:v>
                </c:pt>
                <c:pt idx="216">
                  <c:v>318.63192457508865</c:v>
                </c:pt>
                <c:pt idx="217">
                  <c:v>135.3240436212312</c:v>
                </c:pt>
                <c:pt idx="218">
                  <c:v>352.32754471569905</c:v>
                </c:pt>
                <c:pt idx="219">
                  <c:v>375.91478246627423</c:v>
                </c:pt>
                <c:pt idx="220">
                  <c:v>359.03206723033134</c:v>
                </c:pt>
                <c:pt idx="221">
                  <c:v>274.6725657785102</c:v>
                </c:pt>
                <c:pt idx="222">
                  <c:v>172.03133995092642</c:v>
                </c:pt>
                <c:pt idx="223">
                  <c:v>167.24473591957863</c:v>
                </c:pt>
                <c:pt idx="224">
                  <c:v>284.04748620774865</c:v>
                </c:pt>
                <c:pt idx="225">
                  <c:v>202.10498081068042</c:v>
                </c:pt>
                <c:pt idx="226">
                  <c:v>297.2704307654343</c:v>
                </c:pt>
                <c:pt idx="227">
                  <c:v>355.70152004594797</c:v>
                </c:pt>
                <c:pt idx="228">
                  <c:v>186.04252178297526</c:v>
                </c:pt>
                <c:pt idx="229">
                  <c:v>250.58368041556085</c:v>
                </c:pt>
                <c:pt idx="230">
                  <c:v>366.76238117993722</c:v>
                </c:pt>
                <c:pt idx="231">
                  <c:v>214.30891556897586</c:v>
                </c:pt>
                <c:pt idx="232">
                  <c:v>285.03193438237986</c:v>
                </c:pt>
                <c:pt idx="233">
                  <c:v>314.66324908347758</c:v>
                </c:pt>
                <c:pt idx="234">
                  <c:v>224.38464451213994</c:v>
                </c:pt>
                <c:pt idx="235">
                  <c:v>296.15517532828375</c:v>
                </c:pt>
                <c:pt idx="236">
                  <c:v>366.17588390705225</c:v>
                </c:pt>
                <c:pt idx="237">
                  <c:v>197.49889045684409</c:v>
                </c:pt>
                <c:pt idx="238">
                  <c:v>282.30524122952431</c:v>
                </c:pt>
                <c:pt idx="239">
                  <c:v>302.8270211722263</c:v>
                </c:pt>
                <c:pt idx="240">
                  <c:v>200.51149897730068</c:v>
                </c:pt>
                <c:pt idx="241">
                  <c:v>258.23539139156412</c:v>
                </c:pt>
                <c:pt idx="242">
                  <c:v>373.98960215097929</c:v>
                </c:pt>
                <c:pt idx="243">
                  <c:v>278.08200347528879</c:v>
                </c:pt>
                <c:pt idx="244">
                  <c:v>277.72576693050701</c:v>
                </c:pt>
                <c:pt idx="245">
                  <c:v>249.79294348364931</c:v>
                </c:pt>
                <c:pt idx="246">
                  <c:v>296.14047130938934</c:v>
                </c:pt>
                <c:pt idx="247">
                  <c:v>360.08593096919492</c:v>
                </c:pt>
                <c:pt idx="248">
                  <c:v>212.17474548477583</c:v>
                </c:pt>
                <c:pt idx="249">
                  <c:v>387.73046185342639</c:v>
                </c:pt>
                <c:pt idx="250">
                  <c:v>229.78422450547077</c:v>
                </c:pt>
                <c:pt idx="251">
                  <c:v>263.90526344348746</c:v>
                </c:pt>
                <c:pt idx="252">
                  <c:v>127.63166639315469</c:v>
                </c:pt>
                <c:pt idx="253">
                  <c:v>213.56581984071153</c:v>
                </c:pt>
                <c:pt idx="254">
                  <c:v>183.73898592618275</c:v>
                </c:pt>
                <c:pt idx="255">
                  <c:v>188.18038292922523</c:v>
                </c:pt>
                <c:pt idx="256">
                  <c:v>139.05890385806117</c:v>
                </c:pt>
                <c:pt idx="257">
                  <c:v>303.00839534444464</c:v>
                </c:pt>
                <c:pt idx="258">
                  <c:v>263.3574498867298</c:v>
                </c:pt>
                <c:pt idx="259">
                  <c:v>150.66912330934534</c:v>
                </c:pt>
                <c:pt idx="260">
                  <c:v>272.12310708688671</c:v>
                </c:pt>
                <c:pt idx="261">
                  <c:v>242.4473997659758</c:v>
                </c:pt>
                <c:pt idx="262">
                  <c:v>269.34955254386352</c:v>
                </c:pt>
                <c:pt idx="263">
                  <c:v>182.39354583783671</c:v>
                </c:pt>
                <c:pt idx="264">
                  <c:v>135.55507815983407</c:v>
                </c:pt>
                <c:pt idx="265">
                  <c:v>178.7608618610324</c:v>
                </c:pt>
                <c:pt idx="266">
                  <c:v>363.30184678837031</c:v>
                </c:pt>
                <c:pt idx="267">
                  <c:v>281.46566357462711</c:v>
                </c:pt>
                <c:pt idx="268">
                  <c:v>139.61396600843148</c:v>
                </c:pt>
                <c:pt idx="269">
                  <c:v>374.02164246753023</c:v>
                </c:pt>
                <c:pt idx="270">
                  <c:v>414.71027578116315</c:v>
                </c:pt>
                <c:pt idx="271">
                  <c:v>178.09725828704882</c:v>
                </c:pt>
                <c:pt idx="272">
                  <c:v>201.04884766094546</c:v>
                </c:pt>
                <c:pt idx="273">
                  <c:v>120.34333043081692</c:v>
                </c:pt>
                <c:pt idx="274">
                  <c:v>267.28448844773345</c:v>
                </c:pt>
                <c:pt idx="275">
                  <c:v>392.12468025608717</c:v>
                </c:pt>
                <c:pt idx="276">
                  <c:v>163.72422261022828</c:v>
                </c:pt>
                <c:pt idx="277">
                  <c:v>355.98357791406488</c:v>
                </c:pt>
                <c:pt idx="278">
                  <c:v>363.9146598648187</c:v>
                </c:pt>
                <c:pt idx="279">
                  <c:v>159.86736462077806</c:v>
                </c:pt>
                <c:pt idx="280">
                  <c:v>347.34885399786373</c:v>
                </c:pt>
                <c:pt idx="281">
                  <c:v>125.5400445411434</c:v>
                </c:pt>
                <c:pt idx="282">
                  <c:v>395.16099464232423</c:v>
                </c:pt>
                <c:pt idx="283">
                  <c:v>364.51129791364883</c:v>
                </c:pt>
                <c:pt idx="284">
                  <c:v>227.84807260938254</c:v>
                </c:pt>
                <c:pt idx="285">
                  <c:v>181.39851681194995</c:v>
                </c:pt>
                <c:pt idx="286">
                  <c:v>386.60265352898807</c:v>
                </c:pt>
                <c:pt idx="287">
                  <c:v>285.56005260112465</c:v>
                </c:pt>
                <c:pt idx="288">
                  <c:v>346.61768393254295</c:v>
                </c:pt>
                <c:pt idx="289">
                  <c:v>162.05666654011677</c:v>
                </c:pt>
                <c:pt idx="290">
                  <c:v>247.7328491702817</c:v>
                </c:pt>
                <c:pt idx="291">
                  <c:v>205.3768327867447</c:v>
                </c:pt>
                <c:pt idx="292">
                  <c:v>361.39172591048566</c:v>
                </c:pt>
                <c:pt idx="293">
                  <c:v>250.86132823261448</c:v>
                </c:pt>
                <c:pt idx="294">
                  <c:v>345.95853847919523</c:v>
                </c:pt>
                <c:pt idx="295">
                  <c:v>373.76225163969013</c:v>
                </c:pt>
                <c:pt idx="296">
                  <c:v>324.14888959095845</c:v>
                </c:pt>
                <c:pt idx="297">
                  <c:v>276.64861529927884</c:v>
                </c:pt>
                <c:pt idx="298">
                  <c:v>410.27234882731415</c:v>
                </c:pt>
                <c:pt idx="299">
                  <c:v>385.19951615359605</c:v>
                </c:pt>
                <c:pt idx="300">
                  <c:v>242.63248350677213</c:v>
                </c:pt>
                <c:pt idx="301">
                  <c:v>160.32513575435337</c:v>
                </c:pt>
                <c:pt idx="302">
                  <c:v>134.72525938911105</c:v>
                </c:pt>
                <c:pt idx="303">
                  <c:v>135.04320412788854</c:v>
                </c:pt>
                <c:pt idx="304">
                  <c:v>321.06473708567512</c:v>
                </c:pt>
                <c:pt idx="305">
                  <c:v>179.49760678164881</c:v>
                </c:pt>
                <c:pt idx="306">
                  <c:v>388.15328813358434</c:v>
                </c:pt>
                <c:pt idx="307">
                  <c:v>395.52265077584099</c:v>
                </c:pt>
                <c:pt idx="308">
                  <c:v>386.88566823491465</c:v>
                </c:pt>
                <c:pt idx="309">
                  <c:v>185.50277674477877</c:v>
                </c:pt>
                <c:pt idx="310">
                  <c:v>286.31235547700868</c:v>
                </c:pt>
                <c:pt idx="311">
                  <c:v>230.4721171679102</c:v>
                </c:pt>
                <c:pt idx="312">
                  <c:v>189.26223189270891</c:v>
                </c:pt>
                <c:pt idx="313">
                  <c:v>375.77299478742282</c:v>
                </c:pt>
                <c:pt idx="314">
                  <c:v>321.56390670572966</c:v>
                </c:pt>
                <c:pt idx="315">
                  <c:v>166.36328351446463</c:v>
                </c:pt>
                <c:pt idx="316">
                  <c:v>244.84186202500246</c:v>
                </c:pt>
                <c:pt idx="317">
                  <c:v>141.87593739479649</c:v>
                </c:pt>
                <c:pt idx="318">
                  <c:v>292.95179483796375</c:v>
                </c:pt>
                <c:pt idx="319">
                  <c:v>375.03197704717917</c:v>
                </c:pt>
                <c:pt idx="320">
                  <c:v>384.9791210092738</c:v>
                </c:pt>
                <c:pt idx="321">
                  <c:v>209.19530777144709</c:v>
                </c:pt>
                <c:pt idx="322">
                  <c:v>242.62221850955353</c:v>
                </c:pt>
                <c:pt idx="323">
                  <c:v>397.49463162943351</c:v>
                </c:pt>
                <c:pt idx="324">
                  <c:v>251.49395296847786</c:v>
                </c:pt>
                <c:pt idx="325">
                  <c:v>331.84955950610453</c:v>
                </c:pt>
                <c:pt idx="326">
                  <c:v>343.04665879059962</c:v>
                </c:pt>
                <c:pt idx="327">
                  <c:v>265.34025727572254</c:v>
                </c:pt>
                <c:pt idx="328">
                  <c:v>204.09696717985349</c:v>
                </c:pt>
                <c:pt idx="329">
                  <c:v>386.98715418644838</c:v>
                </c:pt>
                <c:pt idx="330">
                  <c:v>291.56177452258936</c:v>
                </c:pt>
                <c:pt idx="331">
                  <c:v>376.72964693847365</c:v>
                </c:pt>
                <c:pt idx="332">
                  <c:v>125.48902862628749</c:v>
                </c:pt>
                <c:pt idx="333">
                  <c:v>329.21522935959217</c:v>
                </c:pt>
                <c:pt idx="334">
                  <c:v>416.92627464334709</c:v>
                </c:pt>
                <c:pt idx="335">
                  <c:v>336.69817986754913</c:v>
                </c:pt>
                <c:pt idx="336">
                  <c:v>285.60645372699344</c:v>
                </c:pt>
                <c:pt idx="337">
                  <c:v>411.3678502411131</c:v>
                </c:pt>
                <c:pt idx="338">
                  <c:v>219.89793019231303</c:v>
                </c:pt>
                <c:pt idx="339">
                  <c:v>128.50542649029023</c:v>
                </c:pt>
                <c:pt idx="340">
                  <c:v>307.65561092320388</c:v>
                </c:pt>
                <c:pt idx="341">
                  <c:v>229.60146209981986</c:v>
                </c:pt>
                <c:pt idx="342">
                  <c:v>285.78179999183277</c:v>
                </c:pt>
                <c:pt idx="343">
                  <c:v>262.378561618709</c:v>
                </c:pt>
                <c:pt idx="344">
                  <c:v>211.46552558110798</c:v>
                </c:pt>
                <c:pt idx="345">
                  <c:v>272.12268764419048</c:v>
                </c:pt>
                <c:pt idx="346">
                  <c:v>227.30584520532034</c:v>
                </c:pt>
                <c:pt idx="347">
                  <c:v>246.57699423182629</c:v>
                </c:pt>
                <c:pt idx="348">
                  <c:v>198.20439222563925</c:v>
                </c:pt>
                <c:pt idx="349">
                  <c:v>144.53948408314938</c:v>
                </c:pt>
                <c:pt idx="350">
                  <c:v>151.33122069328397</c:v>
                </c:pt>
                <c:pt idx="351">
                  <c:v>232.33426141419682</c:v>
                </c:pt>
                <c:pt idx="352">
                  <c:v>191.41569243910124</c:v>
                </c:pt>
                <c:pt idx="353">
                  <c:v>372.36007973162123</c:v>
                </c:pt>
                <c:pt idx="354">
                  <c:v>156.86897524255198</c:v>
                </c:pt>
                <c:pt idx="355">
                  <c:v>304.72769993899362</c:v>
                </c:pt>
                <c:pt idx="356">
                  <c:v>144.06471407254128</c:v>
                </c:pt>
                <c:pt idx="357">
                  <c:v>366.28015159923336</c:v>
                </c:pt>
                <c:pt idx="358">
                  <c:v>400.0122251392238</c:v>
                </c:pt>
                <c:pt idx="359">
                  <c:v>270.6828686354541</c:v>
                </c:pt>
                <c:pt idx="360">
                  <c:v>139.40961895847772</c:v>
                </c:pt>
                <c:pt idx="361">
                  <c:v>346.18097621118625</c:v>
                </c:pt>
                <c:pt idx="362">
                  <c:v>175.98695101720955</c:v>
                </c:pt>
                <c:pt idx="363">
                  <c:v>266.35893842275721</c:v>
                </c:pt>
                <c:pt idx="364">
                  <c:v>215.13220938358319</c:v>
                </c:pt>
                <c:pt idx="365">
                  <c:v>397.30607315583285</c:v>
                </c:pt>
                <c:pt idx="366">
                  <c:v>155.01403646569719</c:v>
                </c:pt>
                <c:pt idx="367">
                  <c:v>293.63013093793415</c:v>
                </c:pt>
                <c:pt idx="368">
                  <c:v>418.62837934485071</c:v>
                </c:pt>
                <c:pt idx="369">
                  <c:v>255.12091904216584</c:v>
                </c:pt>
                <c:pt idx="370">
                  <c:v>252.9019614155896</c:v>
                </c:pt>
                <c:pt idx="371">
                  <c:v>199.4812699712142</c:v>
                </c:pt>
                <c:pt idx="372">
                  <c:v>253.82807900773801</c:v>
                </c:pt>
                <c:pt idx="373">
                  <c:v>194.61827086254721</c:v>
                </c:pt>
                <c:pt idx="374">
                  <c:v>147.48575666421786</c:v>
                </c:pt>
                <c:pt idx="375">
                  <c:v>289.84616000020605</c:v>
                </c:pt>
                <c:pt idx="376">
                  <c:v>348.5761765089477</c:v>
                </c:pt>
                <c:pt idx="377">
                  <c:v>405.24721005633734</c:v>
                </c:pt>
                <c:pt idx="378">
                  <c:v>293.96090091087046</c:v>
                </c:pt>
                <c:pt idx="379">
                  <c:v>310.09573002926766</c:v>
                </c:pt>
                <c:pt idx="380">
                  <c:v>135.5970556485774</c:v>
                </c:pt>
                <c:pt idx="381">
                  <c:v>215.4369655148904</c:v>
                </c:pt>
                <c:pt idx="382">
                  <c:v>345.91156084768403</c:v>
                </c:pt>
                <c:pt idx="383">
                  <c:v>136.36851997890361</c:v>
                </c:pt>
                <c:pt idx="384">
                  <c:v>153.56850496259551</c:v>
                </c:pt>
                <c:pt idx="385">
                  <c:v>203.44034924074586</c:v>
                </c:pt>
                <c:pt idx="386">
                  <c:v>354.51526794449865</c:v>
                </c:pt>
                <c:pt idx="387">
                  <c:v>220.80546971526076</c:v>
                </c:pt>
                <c:pt idx="388">
                  <c:v>164.59047280878889</c:v>
                </c:pt>
                <c:pt idx="389">
                  <c:v>391.08947690965255</c:v>
                </c:pt>
                <c:pt idx="390">
                  <c:v>350.3080547366834</c:v>
                </c:pt>
                <c:pt idx="391">
                  <c:v>366.59801495019792</c:v>
                </c:pt>
                <c:pt idx="392">
                  <c:v>204.55832404044241</c:v>
                </c:pt>
                <c:pt idx="393">
                  <c:v>176.46061919582309</c:v>
                </c:pt>
                <c:pt idx="394">
                  <c:v>195.69877715024052</c:v>
                </c:pt>
                <c:pt idx="395">
                  <c:v>276.06492980723402</c:v>
                </c:pt>
                <c:pt idx="396">
                  <c:v>283.07774967928356</c:v>
                </c:pt>
                <c:pt idx="397">
                  <c:v>300.69516400808027</c:v>
                </c:pt>
                <c:pt idx="398">
                  <c:v>256.74434602159289</c:v>
                </c:pt>
                <c:pt idx="399">
                  <c:v>298.48014133969235</c:v>
                </c:pt>
                <c:pt idx="400">
                  <c:v>195.3062765574785</c:v>
                </c:pt>
                <c:pt idx="401">
                  <c:v>203.31136486587502</c:v>
                </c:pt>
                <c:pt idx="402">
                  <c:v>361.81680507017768</c:v>
                </c:pt>
                <c:pt idx="403">
                  <c:v>391.69560662452824</c:v>
                </c:pt>
                <c:pt idx="404">
                  <c:v>249.15571623496118</c:v>
                </c:pt>
                <c:pt idx="405">
                  <c:v>149.61342481777859</c:v>
                </c:pt>
                <c:pt idx="406">
                  <c:v>379.56107147128387</c:v>
                </c:pt>
                <c:pt idx="407">
                  <c:v>264.60449031151899</c:v>
                </c:pt>
                <c:pt idx="408">
                  <c:v>371.40635175452417</c:v>
                </c:pt>
                <c:pt idx="409">
                  <c:v>133.07577950373866</c:v>
                </c:pt>
                <c:pt idx="410">
                  <c:v>258.48665411170293</c:v>
                </c:pt>
                <c:pt idx="411">
                  <c:v>314.64876486138286</c:v>
                </c:pt>
                <c:pt idx="412">
                  <c:v>351.22172464536845</c:v>
                </c:pt>
                <c:pt idx="413">
                  <c:v>280.24399697285389</c:v>
                </c:pt>
                <c:pt idx="414">
                  <c:v>288.22553855133555</c:v>
                </c:pt>
                <c:pt idx="415">
                  <c:v>396.73977767167673</c:v>
                </c:pt>
                <c:pt idx="416">
                  <c:v>124.90417036438535</c:v>
                </c:pt>
                <c:pt idx="417">
                  <c:v>129.91869294051884</c:v>
                </c:pt>
                <c:pt idx="418">
                  <c:v>383.89528263962586</c:v>
                </c:pt>
                <c:pt idx="419">
                  <c:v>322.01824425650557</c:v>
                </c:pt>
                <c:pt idx="420">
                  <c:v>402.69289208902796</c:v>
                </c:pt>
                <c:pt idx="421">
                  <c:v>143.24083942431542</c:v>
                </c:pt>
                <c:pt idx="422">
                  <c:v>155.01206525800808</c:v>
                </c:pt>
                <c:pt idx="423">
                  <c:v>224.02362773536549</c:v>
                </c:pt>
                <c:pt idx="424">
                  <c:v>284.74360440742146</c:v>
                </c:pt>
                <c:pt idx="425">
                  <c:v>291.45578810214045</c:v>
                </c:pt>
                <c:pt idx="426">
                  <c:v>357.00287641274616</c:v>
                </c:pt>
                <c:pt idx="427">
                  <c:v>383.36970395512679</c:v>
                </c:pt>
                <c:pt idx="428">
                  <c:v>238.70809932495723</c:v>
                </c:pt>
                <c:pt idx="429">
                  <c:v>287.46941743254536</c:v>
                </c:pt>
                <c:pt idx="430">
                  <c:v>312.38312064899048</c:v>
                </c:pt>
                <c:pt idx="431">
                  <c:v>313.75238502579862</c:v>
                </c:pt>
                <c:pt idx="432">
                  <c:v>378.37346830385553</c:v>
                </c:pt>
                <c:pt idx="433">
                  <c:v>162.83741960573201</c:v>
                </c:pt>
                <c:pt idx="434">
                  <c:v>295.80649873318976</c:v>
                </c:pt>
                <c:pt idx="435">
                  <c:v>372.35300810305694</c:v>
                </c:pt>
                <c:pt idx="436">
                  <c:v>222.78847222543573</c:v>
                </c:pt>
                <c:pt idx="437">
                  <c:v>121.74572577948365</c:v>
                </c:pt>
                <c:pt idx="438">
                  <c:v>205.22995199199323</c:v>
                </c:pt>
                <c:pt idx="439">
                  <c:v>366.74071759730765</c:v>
                </c:pt>
                <c:pt idx="440">
                  <c:v>181.51990773132133</c:v>
                </c:pt>
                <c:pt idx="441">
                  <c:v>218.98775316204348</c:v>
                </c:pt>
                <c:pt idx="442">
                  <c:v>292.8328570413853</c:v>
                </c:pt>
                <c:pt idx="443">
                  <c:v>370.32043294956532</c:v>
                </c:pt>
                <c:pt idx="444">
                  <c:v>401.37258941686031</c:v>
                </c:pt>
                <c:pt idx="445">
                  <c:v>134.83040696997051</c:v>
                </c:pt>
                <c:pt idx="446">
                  <c:v>298.60161912709117</c:v>
                </c:pt>
                <c:pt idx="447">
                  <c:v>330.64754516693677</c:v>
                </c:pt>
                <c:pt idx="448">
                  <c:v>372.56639426543461</c:v>
                </c:pt>
                <c:pt idx="449">
                  <c:v>345.0611944231681</c:v>
                </c:pt>
                <c:pt idx="450">
                  <c:v>228.8573773184321</c:v>
                </c:pt>
                <c:pt idx="451">
                  <c:v>293.94668128685566</c:v>
                </c:pt>
                <c:pt idx="452">
                  <c:v>341.24999473365733</c:v>
                </c:pt>
                <c:pt idx="453">
                  <c:v>264.47440169840763</c:v>
                </c:pt>
                <c:pt idx="454">
                  <c:v>407.2617131542147</c:v>
                </c:pt>
                <c:pt idx="455">
                  <c:v>416.6133901506463</c:v>
                </c:pt>
                <c:pt idx="456">
                  <c:v>232.9229105016305</c:v>
                </c:pt>
                <c:pt idx="457">
                  <c:v>338.73054647062509</c:v>
                </c:pt>
                <c:pt idx="458">
                  <c:v>186.78629504123734</c:v>
                </c:pt>
                <c:pt idx="459">
                  <c:v>265.88008522443386</c:v>
                </c:pt>
                <c:pt idx="460">
                  <c:v>250.68071190498696</c:v>
                </c:pt>
                <c:pt idx="461">
                  <c:v>356.15274950435099</c:v>
                </c:pt>
                <c:pt idx="462">
                  <c:v>275.49784912124852</c:v>
                </c:pt>
                <c:pt idx="463">
                  <c:v>149.17793998323924</c:v>
                </c:pt>
                <c:pt idx="464">
                  <c:v>233.50144160005752</c:v>
                </c:pt>
                <c:pt idx="465">
                  <c:v>371.38437456003112</c:v>
                </c:pt>
                <c:pt idx="466">
                  <c:v>404.24522549431725</c:v>
                </c:pt>
                <c:pt idx="467">
                  <c:v>403.91445717566376</c:v>
                </c:pt>
                <c:pt idx="468">
                  <c:v>176.33641286234672</c:v>
                </c:pt>
                <c:pt idx="469">
                  <c:v>206.77714230123325</c:v>
                </c:pt>
                <c:pt idx="470">
                  <c:v>241.68491775874628</c:v>
                </c:pt>
                <c:pt idx="471">
                  <c:v>399.44661544603099</c:v>
                </c:pt>
                <c:pt idx="472">
                  <c:v>245.86447761073276</c:v>
                </c:pt>
                <c:pt idx="473">
                  <c:v>206.01098240954573</c:v>
                </c:pt>
                <c:pt idx="474">
                  <c:v>183.83814718469208</c:v>
                </c:pt>
                <c:pt idx="475">
                  <c:v>266.40081968272659</c:v>
                </c:pt>
                <c:pt idx="476">
                  <c:v>380.66947600691037</c:v>
                </c:pt>
                <c:pt idx="477">
                  <c:v>133.85095127375936</c:v>
                </c:pt>
                <c:pt idx="478">
                  <c:v>221.10635190370925</c:v>
                </c:pt>
                <c:pt idx="479">
                  <c:v>405.57517122823702</c:v>
                </c:pt>
                <c:pt idx="480">
                  <c:v>184.72375079048103</c:v>
                </c:pt>
                <c:pt idx="481">
                  <c:v>415.58966677491765</c:v>
                </c:pt>
                <c:pt idx="482">
                  <c:v>308.72964520013471</c:v>
                </c:pt>
                <c:pt idx="483">
                  <c:v>311.39095360878287</c:v>
                </c:pt>
                <c:pt idx="484">
                  <c:v>308.27391903277862</c:v>
                </c:pt>
                <c:pt idx="485">
                  <c:v>404.65796346976282</c:v>
                </c:pt>
                <c:pt idx="486">
                  <c:v>234.05633882161976</c:v>
                </c:pt>
                <c:pt idx="487">
                  <c:v>240.82486620692521</c:v>
                </c:pt>
                <c:pt idx="488">
                  <c:v>377.01779412618555</c:v>
                </c:pt>
                <c:pt idx="489">
                  <c:v>283.85785408238985</c:v>
                </c:pt>
                <c:pt idx="490">
                  <c:v>408.73496882259138</c:v>
                </c:pt>
                <c:pt idx="491">
                  <c:v>273.46810713566572</c:v>
                </c:pt>
                <c:pt idx="492">
                  <c:v>368.9919995485804</c:v>
                </c:pt>
                <c:pt idx="493">
                  <c:v>403.01565386074424</c:v>
                </c:pt>
                <c:pt idx="494">
                  <c:v>167.43010113883781</c:v>
                </c:pt>
                <c:pt idx="495">
                  <c:v>293.66058549471177</c:v>
                </c:pt>
                <c:pt idx="496">
                  <c:v>286.90780631565627</c:v>
                </c:pt>
                <c:pt idx="497">
                  <c:v>410.44104753897255</c:v>
                </c:pt>
                <c:pt idx="498">
                  <c:v>236.73254893286341</c:v>
                </c:pt>
                <c:pt idx="499">
                  <c:v>390.49855555358999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6-4649-83B2-3ECBE0F41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7523136"/>
        <c:axId val="1257524848"/>
      </c:lineChart>
      <c:catAx>
        <c:axId val="125752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524848"/>
        <c:crosses val="autoZero"/>
        <c:auto val="1"/>
        <c:lblAlgn val="ctr"/>
        <c:lblOffset val="100"/>
        <c:noMultiLvlLbl val="0"/>
      </c:catAx>
      <c:valAx>
        <c:axId val="125752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52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Expected vs Actual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'5'!$Q$505:$Q$506</c:f>
              <c:strCache>
                <c:ptCount val="2"/>
                <c:pt idx="0">
                  <c:v>Avg Profit[500 simulation]</c:v>
                </c:pt>
                <c:pt idx="1">
                  <c:v>E[Profit]</c:v>
                </c:pt>
              </c:strCache>
            </c:strRef>
          </c:cat>
          <c:val>
            <c:numRef>
              <c:f>'5'!$R$505:$R$506</c:f>
              <c:numCache>
                <c:formatCode>"$"#,##0_);[Red]\("$"#,##0\)</c:formatCode>
                <c:ptCount val="2"/>
                <c:pt idx="0">
                  <c:v>160.13906259559522</c:v>
                </c:pt>
                <c:pt idx="1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C-6D43-84FD-2AA2737AA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249979344"/>
        <c:axId val="1272321088"/>
      </c:barChart>
      <c:catAx>
        <c:axId val="124997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321088"/>
        <c:crosses val="autoZero"/>
        <c:auto val="1"/>
        <c:lblAlgn val="ctr"/>
        <c:lblOffset val="100"/>
        <c:noMultiLvlLbl val="0"/>
      </c:catAx>
      <c:valAx>
        <c:axId val="12723210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97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'5'!$R$4</c:f>
              <c:strCache>
                <c:ptCount val="1"/>
                <c:pt idx="0">
                  <c:v>Net Profit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'5'!$R$5:$R$504</c:f>
              <c:numCache>
                <c:formatCode>"$"#,##0_);[Red]\("$"#,##0\)</c:formatCode>
                <c:ptCount val="500"/>
                <c:pt idx="0">
                  <c:v>560</c:v>
                </c:pt>
                <c:pt idx="1">
                  <c:v>-44.355417987651435</c:v>
                </c:pt>
                <c:pt idx="2">
                  <c:v>-340.30763093144662</c:v>
                </c:pt>
                <c:pt idx="3">
                  <c:v>560</c:v>
                </c:pt>
                <c:pt idx="4">
                  <c:v>560</c:v>
                </c:pt>
                <c:pt idx="5">
                  <c:v>-412.63760381599792</c:v>
                </c:pt>
                <c:pt idx="6">
                  <c:v>560</c:v>
                </c:pt>
                <c:pt idx="7">
                  <c:v>-450.54877008691432</c:v>
                </c:pt>
                <c:pt idx="8">
                  <c:v>-348.82925823817743</c:v>
                </c:pt>
                <c:pt idx="9">
                  <c:v>-301.47735440546523</c:v>
                </c:pt>
                <c:pt idx="10">
                  <c:v>560</c:v>
                </c:pt>
                <c:pt idx="11">
                  <c:v>-400.26055783184984</c:v>
                </c:pt>
                <c:pt idx="12">
                  <c:v>560</c:v>
                </c:pt>
                <c:pt idx="13">
                  <c:v>560</c:v>
                </c:pt>
                <c:pt idx="14">
                  <c:v>-475.11489874286406</c:v>
                </c:pt>
                <c:pt idx="15">
                  <c:v>57.142447104703081</c:v>
                </c:pt>
                <c:pt idx="16">
                  <c:v>-257.47947023538745</c:v>
                </c:pt>
                <c:pt idx="17">
                  <c:v>-399.6836688397899</c:v>
                </c:pt>
                <c:pt idx="18">
                  <c:v>560</c:v>
                </c:pt>
                <c:pt idx="19">
                  <c:v>560</c:v>
                </c:pt>
                <c:pt idx="20">
                  <c:v>-198.83361610655425</c:v>
                </c:pt>
                <c:pt idx="21">
                  <c:v>31.937755936031806</c:v>
                </c:pt>
                <c:pt idx="22">
                  <c:v>-69.567098426842279</c:v>
                </c:pt>
                <c:pt idx="23">
                  <c:v>560</c:v>
                </c:pt>
                <c:pt idx="24">
                  <c:v>-497.81953662793916</c:v>
                </c:pt>
                <c:pt idx="25">
                  <c:v>-82.055963528555765</c:v>
                </c:pt>
                <c:pt idx="26">
                  <c:v>560</c:v>
                </c:pt>
                <c:pt idx="27">
                  <c:v>-107.05836067461627</c:v>
                </c:pt>
                <c:pt idx="28">
                  <c:v>560</c:v>
                </c:pt>
                <c:pt idx="29">
                  <c:v>560</c:v>
                </c:pt>
                <c:pt idx="30">
                  <c:v>560</c:v>
                </c:pt>
                <c:pt idx="31">
                  <c:v>-501.23601573757605</c:v>
                </c:pt>
                <c:pt idx="32">
                  <c:v>560</c:v>
                </c:pt>
                <c:pt idx="33">
                  <c:v>560</c:v>
                </c:pt>
                <c:pt idx="34">
                  <c:v>-397.58696377162585</c:v>
                </c:pt>
                <c:pt idx="35">
                  <c:v>560</c:v>
                </c:pt>
                <c:pt idx="36">
                  <c:v>-353.40717150779881</c:v>
                </c:pt>
                <c:pt idx="37">
                  <c:v>560</c:v>
                </c:pt>
                <c:pt idx="38">
                  <c:v>-424.19587525251256</c:v>
                </c:pt>
                <c:pt idx="39">
                  <c:v>560</c:v>
                </c:pt>
                <c:pt idx="40">
                  <c:v>560</c:v>
                </c:pt>
                <c:pt idx="41">
                  <c:v>560</c:v>
                </c:pt>
                <c:pt idx="42">
                  <c:v>560</c:v>
                </c:pt>
                <c:pt idx="43">
                  <c:v>560</c:v>
                </c:pt>
                <c:pt idx="44">
                  <c:v>560</c:v>
                </c:pt>
                <c:pt idx="45">
                  <c:v>-88.255267982328547</c:v>
                </c:pt>
                <c:pt idx="46">
                  <c:v>25.769189879959242</c:v>
                </c:pt>
                <c:pt idx="47">
                  <c:v>-87.61583482718828</c:v>
                </c:pt>
                <c:pt idx="48">
                  <c:v>560</c:v>
                </c:pt>
                <c:pt idx="49">
                  <c:v>560</c:v>
                </c:pt>
                <c:pt idx="50">
                  <c:v>560</c:v>
                </c:pt>
                <c:pt idx="51">
                  <c:v>64.453278065433722</c:v>
                </c:pt>
                <c:pt idx="52">
                  <c:v>-103.16888711368762</c:v>
                </c:pt>
                <c:pt idx="53">
                  <c:v>560</c:v>
                </c:pt>
                <c:pt idx="54">
                  <c:v>-434.64668636302429</c:v>
                </c:pt>
                <c:pt idx="55">
                  <c:v>-86.290675107082421</c:v>
                </c:pt>
                <c:pt idx="56">
                  <c:v>560</c:v>
                </c:pt>
                <c:pt idx="57">
                  <c:v>-96.004690011109631</c:v>
                </c:pt>
                <c:pt idx="58">
                  <c:v>65.99760812389097</c:v>
                </c:pt>
                <c:pt idx="59">
                  <c:v>-226.37043579481701</c:v>
                </c:pt>
                <c:pt idx="60">
                  <c:v>560</c:v>
                </c:pt>
                <c:pt idx="61">
                  <c:v>560</c:v>
                </c:pt>
                <c:pt idx="62">
                  <c:v>-40.963535527321397</c:v>
                </c:pt>
                <c:pt idx="63">
                  <c:v>-482.91884112007767</c:v>
                </c:pt>
                <c:pt idx="64">
                  <c:v>560</c:v>
                </c:pt>
                <c:pt idx="65">
                  <c:v>560</c:v>
                </c:pt>
                <c:pt idx="66">
                  <c:v>-18.985145768381187</c:v>
                </c:pt>
                <c:pt idx="67">
                  <c:v>-495.76026773921785</c:v>
                </c:pt>
                <c:pt idx="68">
                  <c:v>42.243822806714718</c:v>
                </c:pt>
                <c:pt idx="69">
                  <c:v>560</c:v>
                </c:pt>
                <c:pt idx="70">
                  <c:v>560</c:v>
                </c:pt>
                <c:pt idx="71">
                  <c:v>-449.07416698612633</c:v>
                </c:pt>
                <c:pt idx="72">
                  <c:v>560</c:v>
                </c:pt>
                <c:pt idx="73">
                  <c:v>560</c:v>
                </c:pt>
                <c:pt idx="74">
                  <c:v>-312.81490725425738</c:v>
                </c:pt>
                <c:pt idx="75">
                  <c:v>560</c:v>
                </c:pt>
                <c:pt idx="76">
                  <c:v>-510.79431128807676</c:v>
                </c:pt>
                <c:pt idx="77">
                  <c:v>-108.06170631407727</c:v>
                </c:pt>
                <c:pt idx="78">
                  <c:v>-163.55050671552704</c:v>
                </c:pt>
                <c:pt idx="79">
                  <c:v>560</c:v>
                </c:pt>
                <c:pt idx="80">
                  <c:v>-257.72050021345336</c:v>
                </c:pt>
                <c:pt idx="81">
                  <c:v>34.18016028918197</c:v>
                </c:pt>
                <c:pt idx="82">
                  <c:v>-498.73363965783989</c:v>
                </c:pt>
                <c:pt idx="83">
                  <c:v>-298.67761485057144</c:v>
                </c:pt>
                <c:pt idx="84">
                  <c:v>560</c:v>
                </c:pt>
                <c:pt idx="85">
                  <c:v>-301.91708092217323</c:v>
                </c:pt>
                <c:pt idx="86">
                  <c:v>-365.52222215536983</c:v>
                </c:pt>
                <c:pt idx="87">
                  <c:v>560</c:v>
                </c:pt>
                <c:pt idx="88">
                  <c:v>-47.082325624921793</c:v>
                </c:pt>
                <c:pt idx="89">
                  <c:v>-184.39028400530265</c:v>
                </c:pt>
                <c:pt idx="90">
                  <c:v>-493.75374663162984</c:v>
                </c:pt>
                <c:pt idx="91">
                  <c:v>560</c:v>
                </c:pt>
                <c:pt idx="92">
                  <c:v>61.877196023595843</c:v>
                </c:pt>
                <c:pt idx="93">
                  <c:v>-390.97429372941872</c:v>
                </c:pt>
                <c:pt idx="94">
                  <c:v>560</c:v>
                </c:pt>
                <c:pt idx="95">
                  <c:v>560</c:v>
                </c:pt>
                <c:pt idx="96">
                  <c:v>-440.3955375440201</c:v>
                </c:pt>
                <c:pt idx="97">
                  <c:v>-9.2015153668289145</c:v>
                </c:pt>
                <c:pt idx="98">
                  <c:v>560</c:v>
                </c:pt>
                <c:pt idx="99">
                  <c:v>-237.6439790986006</c:v>
                </c:pt>
                <c:pt idx="100">
                  <c:v>14.177935265277938</c:v>
                </c:pt>
                <c:pt idx="101">
                  <c:v>-48.679973218643283</c:v>
                </c:pt>
                <c:pt idx="102">
                  <c:v>-295.36408954878368</c:v>
                </c:pt>
                <c:pt idx="103">
                  <c:v>560</c:v>
                </c:pt>
                <c:pt idx="104">
                  <c:v>-86.67635969967418</c:v>
                </c:pt>
                <c:pt idx="105">
                  <c:v>-15.676533466541002</c:v>
                </c:pt>
                <c:pt idx="106">
                  <c:v>-341.47070293286146</c:v>
                </c:pt>
                <c:pt idx="107">
                  <c:v>560</c:v>
                </c:pt>
                <c:pt idx="108">
                  <c:v>560</c:v>
                </c:pt>
                <c:pt idx="109">
                  <c:v>-65.663965528078279</c:v>
                </c:pt>
                <c:pt idx="110">
                  <c:v>560</c:v>
                </c:pt>
                <c:pt idx="111">
                  <c:v>560</c:v>
                </c:pt>
                <c:pt idx="112">
                  <c:v>560</c:v>
                </c:pt>
                <c:pt idx="113">
                  <c:v>-109.73845301108864</c:v>
                </c:pt>
                <c:pt idx="114">
                  <c:v>12.452084000018715</c:v>
                </c:pt>
                <c:pt idx="115">
                  <c:v>560</c:v>
                </c:pt>
                <c:pt idx="116">
                  <c:v>560</c:v>
                </c:pt>
                <c:pt idx="117">
                  <c:v>-84.334388971053556</c:v>
                </c:pt>
                <c:pt idx="118">
                  <c:v>71.48322986808671</c:v>
                </c:pt>
                <c:pt idx="119">
                  <c:v>-213.96331745065822</c:v>
                </c:pt>
                <c:pt idx="120">
                  <c:v>66.43942002563783</c:v>
                </c:pt>
                <c:pt idx="121">
                  <c:v>-278.83781066127091</c:v>
                </c:pt>
                <c:pt idx="122">
                  <c:v>560</c:v>
                </c:pt>
                <c:pt idx="123">
                  <c:v>560</c:v>
                </c:pt>
                <c:pt idx="124">
                  <c:v>-274.29230705481154</c:v>
                </c:pt>
                <c:pt idx="125">
                  <c:v>-178.06415326247992</c:v>
                </c:pt>
                <c:pt idx="126">
                  <c:v>560</c:v>
                </c:pt>
                <c:pt idx="127">
                  <c:v>560</c:v>
                </c:pt>
                <c:pt idx="128">
                  <c:v>560</c:v>
                </c:pt>
                <c:pt idx="129">
                  <c:v>-398.61694778592755</c:v>
                </c:pt>
                <c:pt idx="130">
                  <c:v>-255.96233921760592</c:v>
                </c:pt>
                <c:pt idx="131">
                  <c:v>560</c:v>
                </c:pt>
                <c:pt idx="132">
                  <c:v>-342.84240468665041</c:v>
                </c:pt>
                <c:pt idx="133">
                  <c:v>-494.0412005869839</c:v>
                </c:pt>
                <c:pt idx="134">
                  <c:v>-494.3111525770741</c:v>
                </c:pt>
                <c:pt idx="135">
                  <c:v>560</c:v>
                </c:pt>
                <c:pt idx="136">
                  <c:v>560</c:v>
                </c:pt>
                <c:pt idx="137">
                  <c:v>560</c:v>
                </c:pt>
                <c:pt idx="138">
                  <c:v>-325.02407223761645</c:v>
                </c:pt>
                <c:pt idx="139">
                  <c:v>560</c:v>
                </c:pt>
                <c:pt idx="140">
                  <c:v>560</c:v>
                </c:pt>
                <c:pt idx="141">
                  <c:v>560</c:v>
                </c:pt>
                <c:pt idx="142">
                  <c:v>-182.61874023497785</c:v>
                </c:pt>
                <c:pt idx="143">
                  <c:v>-1.7039854164804069</c:v>
                </c:pt>
                <c:pt idx="144">
                  <c:v>-115.8372938545445</c:v>
                </c:pt>
                <c:pt idx="145">
                  <c:v>560</c:v>
                </c:pt>
                <c:pt idx="146">
                  <c:v>-180.72135505197139</c:v>
                </c:pt>
                <c:pt idx="147">
                  <c:v>560</c:v>
                </c:pt>
                <c:pt idx="148">
                  <c:v>-162.58744647579374</c:v>
                </c:pt>
                <c:pt idx="149">
                  <c:v>560</c:v>
                </c:pt>
                <c:pt idx="150">
                  <c:v>60.938152131846607</c:v>
                </c:pt>
                <c:pt idx="151">
                  <c:v>-209.89419907566071</c:v>
                </c:pt>
                <c:pt idx="152">
                  <c:v>-121.9162613789405</c:v>
                </c:pt>
                <c:pt idx="153">
                  <c:v>560</c:v>
                </c:pt>
                <c:pt idx="154">
                  <c:v>-11.099229967543522</c:v>
                </c:pt>
                <c:pt idx="155">
                  <c:v>-426.67692472691391</c:v>
                </c:pt>
                <c:pt idx="156">
                  <c:v>560</c:v>
                </c:pt>
                <c:pt idx="157">
                  <c:v>560</c:v>
                </c:pt>
                <c:pt idx="158">
                  <c:v>-114.40366934737955</c:v>
                </c:pt>
                <c:pt idx="159">
                  <c:v>-497.83905478532819</c:v>
                </c:pt>
                <c:pt idx="160">
                  <c:v>-317.57263475840853</c:v>
                </c:pt>
                <c:pt idx="161">
                  <c:v>-441.69351810715591</c:v>
                </c:pt>
                <c:pt idx="162">
                  <c:v>-245.34554331494292</c:v>
                </c:pt>
                <c:pt idx="163">
                  <c:v>-151.79272975506751</c:v>
                </c:pt>
                <c:pt idx="164">
                  <c:v>-81.74735054109351</c:v>
                </c:pt>
                <c:pt idx="165">
                  <c:v>560</c:v>
                </c:pt>
                <c:pt idx="166">
                  <c:v>560</c:v>
                </c:pt>
                <c:pt idx="167">
                  <c:v>-133.4741348452099</c:v>
                </c:pt>
                <c:pt idx="168">
                  <c:v>-16.045278123424453</c:v>
                </c:pt>
                <c:pt idx="169">
                  <c:v>-514.90908119400228</c:v>
                </c:pt>
                <c:pt idx="170">
                  <c:v>560</c:v>
                </c:pt>
                <c:pt idx="171">
                  <c:v>560</c:v>
                </c:pt>
                <c:pt idx="172">
                  <c:v>-139.04778966171261</c:v>
                </c:pt>
                <c:pt idx="173">
                  <c:v>-125.06213592391123</c:v>
                </c:pt>
                <c:pt idx="174">
                  <c:v>560</c:v>
                </c:pt>
                <c:pt idx="175">
                  <c:v>560</c:v>
                </c:pt>
                <c:pt idx="176">
                  <c:v>560</c:v>
                </c:pt>
                <c:pt idx="177">
                  <c:v>560</c:v>
                </c:pt>
                <c:pt idx="178">
                  <c:v>77.78299548866454</c:v>
                </c:pt>
                <c:pt idx="179">
                  <c:v>38.825470879334887</c:v>
                </c:pt>
                <c:pt idx="180">
                  <c:v>560</c:v>
                </c:pt>
                <c:pt idx="181">
                  <c:v>-397.33479930891519</c:v>
                </c:pt>
                <c:pt idx="182">
                  <c:v>560</c:v>
                </c:pt>
                <c:pt idx="183">
                  <c:v>-277.11490911129931</c:v>
                </c:pt>
                <c:pt idx="184">
                  <c:v>560</c:v>
                </c:pt>
                <c:pt idx="185">
                  <c:v>42.127691991302072</c:v>
                </c:pt>
                <c:pt idx="186">
                  <c:v>560</c:v>
                </c:pt>
                <c:pt idx="187">
                  <c:v>560</c:v>
                </c:pt>
                <c:pt idx="188">
                  <c:v>560</c:v>
                </c:pt>
                <c:pt idx="189">
                  <c:v>560</c:v>
                </c:pt>
                <c:pt idx="190">
                  <c:v>560</c:v>
                </c:pt>
                <c:pt idx="191">
                  <c:v>560</c:v>
                </c:pt>
                <c:pt idx="192">
                  <c:v>66.469240606385867</c:v>
                </c:pt>
                <c:pt idx="193">
                  <c:v>-428.19685382135816</c:v>
                </c:pt>
                <c:pt idx="194">
                  <c:v>-414.58607996462251</c:v>
                </c:pt>
                <c:pt idx="195">
                  <c:v>560</c:v>
                </c:pt>
                <c:pt idx="196">
                  <c:v>-320.4166446021822</c:v>
                </c:pt>
                <c:pt idx="197">
                  <c:v>-282.20495351280312</c:v>
                </c:pt>
                <c:pt idx="198">
                  <c:v>-308.31788178204636</c:v>
                </c:pt>
                <c:pt idx="199">
                  <c:v>-202.292663974471</c:v>
                </c:pt>
                <c:pt idx="200">
                  <c:v>560</c:v>
                </c:pt>
                <c:pt idx="201">
                  <c:v>-192.72375660287668</c:v>
                </c:pt>
                <c:pt idx="202">
                  <c:v>-460.15860275380498</c:v>
                </c:pt>
                <c:pt idx="203">
                  <c:v>-445.93002955956086</c:v>
                </c:pt>
                <c:pt idx="204">
                  <c:v>560</c:v>
                </c:pt>
                <c:pt idx="205">
                  <c:v>560</c:v>
                </c:pt>
                <c:pt idx="206">
                  <c:v>-3.7913852623303796</c:v>
                </c:pt>
                <c:pt idx="207">
                  <c:v>-18.617990921455714</c:v>
                </c:pt>
                <c:pt idx="208">
                  <c:v>560</c:v>
                </c:pt>
                <c:pt idx="209">
                  <c:v>-154.40604717533779</c:v>
                </c:pt>
                <c:pt idx="210">
                  <c:v>560</c:v>
                </c:pt>
                <c:pt idx="211">
                  <c:v>-261.318804241301</c:v>
                </c:pt>
                <c:pt idx="212">
                  <c:v>-501.9517225048138</c:v>
                </c:pt>
                <c:pt idx="213">
                  <c:v>560</c:v>
                </c:pt>
                <c:pt idx="214">
                  <c:v>560</c:v>
                </c:pt>
                <c:pt idx="215">
                  <c:v>560</c:v>
                </c:pt>
                <c:pt idx="216">
                  <c:v>560</c:v>
                </c:pt>
                <c:pt idx="217">
                  <c:v>18.703825515075152</c:v>
                </c:pt>
                <c:pt idx="218">
                  <c:v>560</c:v>
                </c:pt>
                <c:pt idx="219">
                  <c:v>560</c:v>
                </c:pt>
                <c:pt idx="220">
                  <c:v>560</c:v>
                </c:pt>
                <c:pt idx="221">
                  <c:v>560</c:v>
                </c:pt>
                <c:pt idx="222">
                  <c:v>-128.12535980370563</c:v>
                </c:pt>
                <c:pt idx="223">
                  <c:v>-108.97894367831447</c:v>
                </c:pt>
                <c:pt idx="224">
                  <c:v>560</c:v>
                </c:pt>
                <c:pt idx="225">
                  <c:v>-248.41992324272172</c:v>
                </c:pt>
                <c:pt idx="226">
                  <c:v>560</c:v>
                </c:pt>
                <c:pt idx="227">
                  <c:v>560</c:v>
                </c:pt>
                <c:pt idx="228">
                  <c:v>-184.17008713190103</c:v>
                </c:pt>
                <c:pt idx="229">
                  <c:v>-442.33472166224334</c:v>
                </c:pt>
                <c:pt idx="230">
                  <c:v>560</c:v>
                </c:pt>
                <c:pt idx="231">
                  <c:v>-297.23566227590345</c:v>
                </c:pt>
                <c:pt idx="232">
                  <c:v>560</c:v>
                </c:pt>
                <c:pt idx="233">
                  <c:v>560</c:v>
                </c:pt>
                <c:pt idx="234">
                  <c:v>-337.53857804855977</c:v>
                </c:pt>
                <c:pt idx="235">
                  <c:v>560</c:v>
                </c:pt>
                <c:pt idx="236">
                  <c:v>560</c:v>
                </c:pt>
                <c:pt idx="237">
                  <c:v>-229.99556182737638</c:v>
                </c:pt>
                <c:pt idx="238">
                  <c:v>560</c:v>
                </c:pt>
                <c:pt idx="239">
                  <c:v>560</c:v>
                </c:pt>
                <c:pt idx="240">
                  <c:v>-242.04599590920276</c:v>
                </c:pt>
                <c:pt idx="241">
                  <c:v>-472.94156556625654</c:v>
                </c:pt>
                <c:pt idx="242">
                  <c:v>560</c:v>
                </c:pt>
                <c:pt idx="243">
                  <c:v>560</c:v>
                </c:pt>
                <c:pt idx="244">
                  <c:v>560</c:v>
                </c:pt>
                <c:pt idx="245">
                  <c:v>-439.1717739345973</c:v>
                </c:pt>
                <c:pt idx="246">
                  <c:v>560</c:v>
                </c:pt>
                <c:pt idx="247">
                  <c:v>560</c:v>
                </c:pt>
                <c:pt idx="248">
                  <c:v>-288.69898193910325</c:v>
                </c:pt>
                <c:pt idx="249">
                  <c:v>560</c:v>
                </c:pt>
                <c:pt idx="250">
                  <c:v>-359.1368980218831</c:v>
                </c:pt>
                <c:pt idx="251">
                  <c:v>-495.62105377394982</c:v>
                </c:pt>
                <c:pt idx="252">
                  <c:v>49.473334427381303</c:v>
                </c:pt>
                <c:pt idx="253">
                  <c:v>-294.26327936284611</c:v>
                </c:pt>
                <c:pt idx="254">
                  <c:v>-174.955943704731</c:v>
                </c:pt>
                <c:pt idx="255">
                  <c:v>-192.72153171690093</c:v>
                </c:pt>
                <c:pt idx="256">
                  <c:v>3.7643845677553145</c:v>
                </c:pt>
                <c:pt idx="257">
                  <c:v>560</c:v>
                </c:pt>
                <c:pt idx="258">
                  <c:v>-493.42979954691924</c:v>
                </c:pt>
                <c:pt idx="259">
                  <c:v>-42.676493237381294</c:v>
                </c:pt>
                <c:pt idx="260">
                  <c:v>560</c:v>
                </c:pt>
                <c:pt idx="261">
                  <c:v>-409.78959906390321</c:v>
                </c:pt>
                <c:pt idx="262">
                  <c:v>-517.3982101754541</c:v>
                </c:pt>
                <c:pt idx="263">
                  <c:v>-169.57418335134685</c:v>
                </c:pt>
                <c:pt idx="264">
                  <c:v>17.779687360663786</c:v>
                </c:pt>
                <c:pt idx="265">
                  <c:v>-155.04344744412953</c:v>
                </c:pt>
                <c:pt idx="266">
                  <c:v>560</c:v>
                </c:pt>
                <c:pt idx="267">
                  <c:v>560</c:v>
                </c:pt>
                <c:pt idx="268">
                  <c:v>1.5441359662740979</c:v>
                </c:pt>
                <c:pt idx="269">
                  <c:v>560</c:v>
                </c:pt>
                <c:pt idx="270">
                  <c:v>560</c:v>
                </c:pt>
                <c:pt idx="271">
                  <c:v>-152.38903314819527</c:v>
                </c:pt>
                <c:pt idx="272">
                  <c:v>-244.19539064378182</c:v>
                </c:pt>
                <c:pt idx="273">
                  <c:v>78.626678276732321</c:v>
                </c:pt>
                <c:pt idx="274">
                  <c:v>-509.13795379093375</c:v>
                </c:pt>
                <c:pt idx="275">
                  <c:v>560</c:v>
                </c:pt>
                <c:pt idx="276">
                  <c:v>-94.896890440913069</c:v>
                </c:pt>
                <c:pt idx="277">
                  <c:v>560</c:v>
                </c:pt>
                <c:pt idx="278">
                  <c:v>560</c:v>
                </c:pt>
                <c:pt idx="279">
                  <c:v>-79.469458483112248</c:v>
                </c:pt>
                <c:pt idx="280">
                  <c:v>560</c:v>
                </c:pt>
                <c:pt idx="281">
                  <c:v>57.839821835426392</c:v>
                </c:pt>
                <c:pt idx="282">
                  <c:v>560</c:v>
                </c:pt>
                <c:pt idx="283">
                  <c:v>560</c:v>
                </c:pt>
                <c:pt idx="284">
                  <c:v>-351.39229043753028</c:v>
                </c:pt>
                <c:pt idx="285">
                  <c:v>-165.59406724779979</c:v>
                </c:pt>
                <c:pt idx="286">
                  <c:v>560</c:v>
                </c:pt>
                <c:pt idx="287">
                  <c:v>560</c:v>
                </c:pt>
                <c:pt idx="288">
                  <c:v>560</c:v>
                </c:pt>
                <c:pt idx="289">
                  <c:v>-88.226666160467119</c:v>
                </c:pt>
                <c:pt idx="290">
                  <c:v>-430.93139668112684</c:v>
                </c:pt>
                <c:pt idx="291">
                  <c:v>-261.50733114697874</c:v>
                </c:pt>
                <c:pt idx="292">
                  <c:v>560</c:v>
                </c:pt>
                <c:pt idx="293">
                  <c:v>-443.44531293045787</c:v>
                </c:pt>
                <c:pt idx="294">
                  <c:v>560</c:v>
                </c:pt>
                <c:pt idx="295">
                  <c:v>560</c:v>
                </c:pt>
                <c:pt idx="296">
                  <c:v>560</c:v>
                </c:pt>
                <c:pt idx="297">
                  <c:v>560</c:v>
                </c:pt>
                <c:pt idx="298">
                  <c:v>560</c:v>
                </c:pt>
                <c:pt idx="299">
                  <c:v>560</c:v>
                </c:pt>
                <c:pt idx="300">
                  <c:v>-410.52993402708853</c:v>
                </c:pt>
                <c:pt idx="301">
                  <c:v>-81.300543017413474</c:v>
                </c:pt>
                <c:pt idx="302">
                  <c:v>21.098962443555877</c:v>
                </c:pt>
                <c:pt idx="303">
                  <c:v>19.827183488445826</c:v>
                </c:pt>
                <c:pt idx="304">
                  <c:v>560</c:v>
                </c:pt>
                <c:pt idx="305">
                  <c:v>-157.99042712659525</c:v>
                </c:pt>
                <c:pt idx="306">
                  <c:v>560</c:v>
                </c:pt>
                <c:pt idx="307">
                  <c:v>560</c:v>
                </c:pt>
                <c:pt idx="308">
                  <c:v>560</c:v>
                </c:pt>
                <c:pt idx="309">
                  <c:v>-182.01110697911508</c:v>
                </c:pt>
                <c:pt idx="310">
                  <c:v>560</c:v>
                </c:pt>
                <c:pt idx="311">
                  <c:v>-361.88846867164091</c:v>
                </c:pt>
                <c:pt idx="312">
                  <c:v>-197.04892757083559</c:v>
                </c:pt>
                <c:pt idx="313">
                  <c:v>560</c:v>
                </c:pt>
                <c:pt idx="314">
                  <c:v>560</c:v>
                </c:pt>
                <c:pt idx="315">
                  <c:v>-105.45313405785859</c:v>
                </c:pt>
                <c:pt idx="316">
                  <c:v>-419.36744810000982</c:v>
                </c:pt>
                <c:pt idx="317">
                  <c:v>-7.5037495791859214</c:v>
                </c:pt>
                <c:pt idx="318">
                  <c:v>560</c:v>
                </c:pt>
                <c:pt idx="319">
                  <c:v>560</c:v>
                </c:pt>
                <c:pt idx="320">
                  <c:v>560</c:v>
                </c:pt>
                <c:pt idx="321">
                  <c:v>-276.78123108578836</c:v>
                </c:pt>
                <c:pt idx="322">
                  <c:v>-410.48887403821402</c:v>
                </c:pt>
                <c:pt idx="323">
                  <c:v>560</c:v>
                </c:pt>
                <c:pt idx="324">
                  <c:v>-445.97581187391137</c:v>
                </c:pt>
                <c:pt idx="325">
                  <c:v>560</c:v>
                </c:pt>
                <c:pt idx="326">
                  <c:v>560</c:v>
                </c:pt>
                <c:pt idx="327">
                  <c:v>-501.36102910289003</c:v>
                </c:pt>
                <c:pt idx="328">
                  <c:v>-256.38786871941397</c:v>
                </c:pt>
                <c:pt idx="329">
                  <c:v>560</c:v>
                </c:pt>
                <c:pt idx="330">
                  <c:v>560</c:v>
                </c:pt>
                <c:pt idx="331">
                  <c:v>560</c:v>
                </c:pt>
                <c:pt idx="332">
                  <c:v>58.043885494849917</c:v>
                </c:pt>
                <c:pt idx="333">
                  <c:v>560</c:v>
                </c:pt>
                <c:pt idx="334">
                  <c:v>560</c:v>
                </c:pt>
                <c:pt idx="335">
                  <c:v>560</c:v>
                </c:pt>
                <c:pt idx="336">
                  <c:v>560</c:v>
                </c:pt>
                <c:pt idx="337">
                  <c:v>560</c:v>
                </c:pt>
                <c:pt idx="338">
                  <c:v>-319.59172076925199</c:v>
                </c:pt>
                <c:pt idx="339">
                  <c:v>45.978294038839067</c:v>
                </c:pt>
                <c:pt idx="340">
                  <c:v>560</c:v>
                </c:pt>
                <c:pt idx="341">
                  <c:v>-358.40584839927942</c:v>
                </c:pt>
                <c:pt idx="342">
                  <c:v>560</c:v>
                </c:pt>
                <c:pt idx="343">
                  <c:v>-489.514246474836</c:v>
                </c:pt>
                <c:pt idx="344">
                  <c:v>-285.86210232443193</c:v>
                </c:pt>
                <c:pt idx="345">
                  <c:v>560</c:v>
                </c:pt>
                <c:pt idx="346">
                  <c:v>-349.22338082128135</c:v>
                </c:pt>
                <c:pt idx="347">
                  <c:v>-426.30797692730528</c:v>
                </c:pt>
                <c:pt idx="348">
                  <c:v>-232.81756890255696</c:v>
                </c:pt>
                <c:pt idx="349">
                  <c:v>-18.157936332597444</c:v>
                </c:pt>
                <c:pt idx="350">
                  <c:v>-45.324882773135869</c:v>
                </c:pt>
                <c:pt idx="351">
                  <c:v>-369.33704565678727</c:v>
                </c:pt>
                <c:pt idx="352">
                  <c:v>-205.66276975640494</c:v>
                </c:pt>
                <c:pt idx="353">
                  <c:v>560</c:v>
                </c:pt>
                <c:pt idx="354">
                  <c:v>-67.475900970207931</c:v>
                </c:pt>
                <c:pt idx="355">
                  <c:v>560</c:v>
                </c:pt>
                <c:pt idx="356">
                  <c:v>-16.258856290165113</c:v>
                </c:pt>
                <c:pt idx="357">
                  <c:v>560</c:v>
                </c:pt>
                <c:pt idx="358">
                  <c:v>560</c:v>
                </c:pt>
                <c:pt idx="359">
                  <c:v>560</c:v>
                </c:pt>
                <c:pt idx="360">
                  <c:v>2.3615241660891115</c:v>
                </c:pt>
                <c:pt idx="361">
                  <c:v>560</c:v>
                </c:pt>
                <c:pt idx="362">
                  <c:v>-143.9478040688382</c:v>
                </c:pt>
                <c:pt idx="363">
                  <c:v>-505.43575369102888</c:v>
                </c:pt>
                <c:pt idx="364">
                  <c:v>-300.52883753433264</c:v>
                </c:pt>
                <c:pt idx="365">
                  <c:v>560</c:v>
                </c:pt>
                <c:pt idx="366">
                  <c:v>-60.056145862788838</c:v>
                </c:pt>
                <c:pt idx="367">
                  <c:v>560</c:v>
                </c:pt>
                <c:pt idx="368">
                  <c:v>560</c:v>
                </c:pt>
                <c:pt idx="369">
                  <c:v>-460.48367616866329</c:v>
                </c:pt>
                <c:pt idx="370">
                  <c:v>-451.60784566235827</c:v>
                </c:pt>
                <c:pt idx="371">
                  <c:v>-237.92507988485681</c:v>
                </c:pt>
                <c:pt idx="372">
                  <c:v>-455.31231603095205</c:v>
                </c:pt>
                <c:pt idx="373">
                  <c:v>-218.47308345018882</c:v>
                </c:pt>
                <c:pt idx="374">
                  <c:v>-29.943026656871496</c:v>
                </c:pt>
                <c:pt idx="375">
                  <c:v>560</c:v>
                </c:pt>
                <c:pt idx="376">
                  <c:v>560</c:v>
                </c:pt>
                <c:pt idx="377">
                  <c:v>560</c:v>
                </c:pt>
                <c:pt idx="378">
                  <c:v>560</c:v>
                </c:pt>
                <c:pt idx="379">
                  <c:v>560</c:v>
                </c:pt>
                <c:pt idx="380">
                  <c:v>17.611777405690361</c:v>
                </c:pt>
                <c:pt idx="381">
                  <c:v>-301.74786205956167</c:v>
                </c:pt>
                <c:pt idx="382">
                  <c:v>560</c:v>
                </c:pt>
                <c:pt idx="383">
                  <c:v>14.525920084385632</c:v>
                </c:pt>
                <c:pt idx="384">
                  <c:v>-54.274019850382047</c:v>
                </c:pt>
                <c:pt idx="385">
                  <c:v>-253.76139696298344</c:v>
                </c:pt>
                <c:pt idx="386">
                  <c:v>560</c:v>
                </c:pt>
                <c:pt idx="387">
                  <c:v>-323.22187886104308</c:v>
                </c:pt>
                <c:pt idx="388">
                  <c:v>-98.361891235155639</c:v>
                </c:pt>
                <c:pt idx="389">
                  <c:v>560</c:v>
                </c:pt>
                <c:pt idx="390">
                  <c:v>560</c:v>
                </c:pt>
                <c:pt idx="391">
                  <c:v>560</c:v>
                </c:pt>
                <c:pt idx="392">
                  <c:v>-258.23329616176966</c:v>
                </c:pt>
                <c:pt idx="393">
                  <c:v>-145.84247678329234</c:v>
                </c:pt>
                <c:pt idx="394">
                  <c:v>-222.79510860096212</c:v>
                </c:pt>
                <c:pt idx="395">
                  <c:v>560</c:v>
                </c:pt>
                <c:pt idx="396">
                  <c:v>560</c:v>
                </c:pt>
                <c:pt idx="397">
                  <c:v>560</c:v>
                </c:pt>
                <c:pt idx="398">
                  <c:v>-466.97738408637167</c:v>
                </c:pt>
                <c:pt idx="399">
                  <c:v>560</c:v>
                </c:pt>
                <c:pt idx="400">
                  <c:v>-221.22510622991399</c:v>
                </c:pt>
                <c:pt idx="401">
                  <c:v>-253.24545946350008</c:v>
                </c:pt>
                <c:pt idx="402">
                  <c:v>560</c:v>
                </c:pt>
                <c:pt idx="403">
                  <c:v>560</c:v>
                </c:pt>
                <c:pt idx="404">
                  <c:v>-436.62286493984459</c:v>
                </c:pt>
                <c:pt idx="405">
                  <c:v>-38.453699271114459</c:v>
                </c:pt>
                <c:pt idx="406">
                  <c:v>560</c:v>
                </c:pt>
                <c:pt idx="407">
                  <c:v>-498.41796124607583</c:v>
                </c:pt>
                <c:pt idx="408">
                  <c:v>560</c:v>
                </c:pt>
                <c:pt idx="409">
                  <c:v>27.696881985045366</c:v>
                </c:pt>
                <c:pt idx="410">
                  <c:v>-473.94661644681167</c:v>
                </c:pt>
                <c:pt idx="411">
                  <c:v>560</c:v>
                </c:pt>
                <c:pt idx="412">
                  <c:v>560</c:v>
                </c:pt>
                <c:pt idx="413">
                  <c:v>560</c:v>
                </c:pt>
                <c:pt idx="414">
                  <c:v>560</c:v>
                </c:pt>
                <c:pt idx="415">
                  <c:v>560</c:v>
                </c:pt>
                <c:pt idx="416">
                  <c:v>60.383318542458639</c:v>
                </c:pt>
                <c:pt idx="417">
                  <c:v>40.325228237924591</c:v>
                </c:pt>
                <c:pt idx="418">
                  <c:v>560</c:v>
                </c:pt>
                <c:pt idx="419">
                  <c:v>560</c:v>
                </c:pt>
                <c:pt idx="420">
                  <c:v>560</c:v>
                </c:pt>
                <c:pt idx="421">
                  <c:v>-12.963357697261756</c:v>
                </c:pt>
                <c:pt idx="422">
                  <c:v>-60.048261032032315</c:v>
                </c:pt>
                <c:pt idx="423">
                  <c:v>-336.09451094146192</c:v>
                </c:pt>
                <c:pt idx="424">
                  <c:v>560</c:v>
                </c:pt>
                <c:pt idx="425">
                  <c:v>560</c:v>
                </c:pt>
                <c:pt idx="426">
                  <c:v>560</c:v>
                </c:pt>
                <c:pt idx="427">
                  <c:v>560</c:v>
                </c:pt>
                <c:pt idx="428">
                  <c:v>-394.83239729982881</c:v>
                </c:pt>
                <c:pt idx="429">
                  <c:v>560</c:v>
                </c:pt>
                <c:pt idx="430">
                  <c:v>560</c:v>
                </c:pt>
                <c:pt idx="431">
                  <c:v>560</c:v>
                </c:pt>
                <c:pt idx="432">
                  <c:v>560</c:v>
                </c:pt>
                <c:pt idx="433">
                  <c:v>-91.349678422928122</c:v>
                </c:pt>
                <c:pt idx="434">
                  <c:v>560</c:v>
                </c:pt>
                <c:pt idx="435">
                  <c:v>560</c:v>
                </c:pt>
                <c:pt idx="436">
                  <c:v>-331.1538889017429</c:v>
                </c:pt>
                <c:pt idx="437">
                  <c:v>73.01709688206536</c:v>
                </c:pt>
                <c:pt idx="438">
                  <c:v>-260.91980796797293</c:v>
                </c:pt>
                <c:pt idx="439">
                  <c:v>560</c:v>
                </c:pt>
                <c:pt idx="440">
                  <c:v>-166.0796309252853</c:v>
                </c:pt>
                <c:pt idx="441">
                  <c:v>-315.95101264817379</c:v>
                </c:pt>
                <c:pt idx="442">
                  <c:v>560</c:v>
                </c:pt>
                <c:pt idx="443">
                  <c:v>560</c:v>
                </c:pt>
                <c:pt idx="444">
                  <c:v>560</c:v>
                </c:pt>
                <c:pt idx="445">
                  <c:v>20.678372120118013</c:v>
                </c:pt>
                <c:pt idx="446">
                  <c:v>560</c:v>
                </c:pt>
                <c:pt idx="447">
                  <c:v>560</c:v>
                </c:pt>
                <c:pt idx="448">
                  <c:v>560</c:v>
                </c:pt>
                <c:pt idx="449">
                  <c:v>560</c:v>
                </c:pt>
                <c:pt idx="450">
                  <c:v>-355.4295092737284</c:v>
                </c:pt>
                <c:pt idx="451">
                  <c:v>560</c:v>
                </c:pt>
                <c:pt idx="452">
                  <c:v>560</c:v>
                </c:pt>
                <c:pt idx="453">
                  <c:v>-497.89760679363047</c:v>
                </c:pt>
                <c:pt idx="454">
                  <c:v>560</c:v>
                </c:pt>
                <c:pt idx="455">
                  <c:v>560</c:v>
                </c:pt>
                <c:pt idx="456">
                  <c:v>-371.69164200652187</c:v>
                </c:pt>
                <c:pt idx="457">
                  <c:v>560</c:v>
                </c:pt>
                <c:pt idx="458">
                  <c:v>-187.14518016494935</c:v>
                </c:pt>
                <c:pt idx="459">
                  <c:v>-503.52034089773537</c:v>
                </c:pt>
                <c:pt idx="460">
                  <c:v>-442.72284761994791</c:v>
                </c:pt>
                <c:pt idx="461">
                  <c:v>560</c:v>
                </c:pt>
                <c:pt idx="462">
                  <c:v>560</c:v>
                </c:pt>
                <c:pt idx="463">
                  <c:v>-36.71175993295688</c:v>
                </c:pt>
                <c:pt idx="464">
                  <c:v>-374.00576640023007</c:v>
                </c:pt>
                <c:pt idx="465">
                  <c:v>560</c:v>
                </c:pt>
                <c:pt idx="466">
                  <c:v>560</c:v>
                </c:pt>
                <c:pt idx="467">
                  <c:v>560</c:v>
                </c:pt>
                <c:pt idx="468">
                  <c:v>-145.34565144938688</c:v>
                </c:pt>
                <c:pt idx="469">
                  <c:v>-267.10856920493302</c:v>
                </c:pt>
                <c:pt idx="470">
                  <c:v>-406.73967103498501</c:v>
                </c:pt>
                <c:pt idx="471">
                  <c:v>560</c:v>
                </c:pt>
                <c:pt idx="472">
                  <c:v>-423.45791044293117</c:v>
                </c:pt>
                <c:pt idx="473">
                  <c:v>-264.04392963818287</c:v>
                </c:pt>
                <c:pt idx="474">
                  <c:v>-175.35258873876825</c:v>
                </c:pt>
                <c:pt idx="475">
                  <c:v>-505.60327873090631</c:v>
                </c:pt>
                <c:pt idx="476">
                  <c:v>560</c:v>
                </c:pt>
                <c:pt idx="477">
                  <c:v>24.596194904962488</c:v>
                </c:pt>
                <c:pt idx="478">
                  <c:v>-324.42540761483713</c:v>
                </c:pt>
                <c:pt idx="479">
                  <c:v>560</c:v>
                </c:pt>
                <c:pt idx="480">
                  <c:v>-178.89500316192419</c:v>
                </c:pt>
                <c:pt idx="481">
                  <c:v>560</c:v>
                </c:pt>
                <c:pt idx="482">
                  <c:v>560</c:v>
                </c:pt>
                <c:pt idx="483">
                  <c:v>560</c:v>
                </c:pt>
                <c:pt idx="484">
                  <c:v>560</c:v>
                </c:pt>
                <c:pt idx="485">
                  <c:v>560</c:v>
                </c:pt>
                <c:pt idx="486">
                  <c:v>-376.2253552864791</c:v>
                </c:pt>
                <c:pt idx="487">
                  <c:v>-403.29946482770083</c:v>
                </c:pt>
                <c:pt idx="488">
                  <c:v>560</c:v>
                </c:pt>
                <c:pt idx="489">
                  <c:v>560</c:v>
                </c:pt>
                <c:pt idx="490">
                  <c:v>560</c:v>
                </c:pt>
                <c:pt idx="491">
                  <c:v>560</c:v>
                </c:pt>
                <c:pt idx="492">
                  <c:v>560</c:v>
                </c:pt>
                <c:pt idx="493">
                  <c:v>560</c:v>
                </c:pt>
                <c:pt idx="494">
                  <c:v>-109.72040455535125</c:v>
                </c:pt>
                <c:pt idx="495">
                  <c:v>560</c:v>
                </c:pt>
                <c:pt idx="496">
                  <c:v>560</c:v>
                </c:pt>
                <c:pt idx="497">
                  <c:v>560</c:v>
                </c:pt>
                <c:pt idx="498">
                  <c:v>-386.93019573145369</c:v>
                </c:pt>
                <c:pt idx="499">
                  <c:v>560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55-744E-A0AF-7FE02C093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523136"/>
        <c:axId val="1257524848"/>
      </c:scatterChart>
      <c:valAx>
        <c:axId val="125752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524848"/>
        <c:crosses val="autoZero"/>
        <c:crossBetween val="midCat"/>
      </c:valAx>
      <c:valAx>
        <c:axId val="125752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523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22</xdr:row>
      <xdr:rowOff>12889</xdr:rowOff>
    </xdr:from>
    <xdr:ext cx="1839927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B3DD79A-0F34-2948-9480-004AA5B94C5C}"/>
                </a:ext>
              </a:extLst>
            </xdr:cNvPr>
            <xdr:cNvSpPr txBox="1"/>
          </xdr:nvSpPr>
          <xdr:spPr>
            <a:xfrm>
              <a:off x="6324600" y="5042089"/>
              <a:ext cx="1839927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m:rPr>
                          <m:brk m:alnAt="23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20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270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(420−120)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270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270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(420−120)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B3DD79A-0F34-2948-9480-004AA5B94C5C}"/>
                </a:ext>
              </a:extLst>
            </xdr:cNvPr>
            <xdr:cNvSpPr txBox="1"/>
          </xdr:nvSpPr>
          <xdr:spPr>
            <a:xfrm>
              <a:off x="6324600" y="5042089"/>
              <a:ext cx="1839927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120^270▒〖𝑥𝑑𝑥/((420−120))+∫24_270^420▒270𝑑𝑥/((420−120))〗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290023</xdr:colOff>
      <xdr:row>21</xdr:row>
      <xdr:rowOff>277595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355E399-0CA8-1541-AD2E-D8A41FEC9C29}"/>
                </a:ext>
              </a:extLst>
            </xdr:cNvPr>
            <xdr:cNvSpPr txBox="1"/>
          </xdr:nvSpPr>
          <xdr:spPr>
            <a:xfrm>
              <a:off x="6619703" y="5113755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270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120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2∗(300)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(420−270)∗270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(300)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355E399-0CA8-1541-AD2E-D8A41FEC9C29}"/>
                </a:ext>
              </a:extLst>
            </xdr:cNvPr>
            <xdr:cNvSpPr txBox="1"/>
          </xdr:nvSpPr>
          <xdr:spPr>
            <a:xfrm>
              <a:off x="6619703" y="5113755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270^2−120^2)/(2∗(300))]+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(420−270)∗270)/((300))]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5</xdr:col>
      <xdr:colOff>0</xdr:colOff>
      <xdr:row>39</xdr:row>
      <xdr:rowOff>12889</xdr:rowOff>
    </xdr:from>
    <xdr:ext cx="1905137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E0EEA94-6AFC-BD44-BD7A-A13ED7D7DBED}"/>
                </a:ext>
              </a:extLst>
            </xdr:cNvPr>
            <xdr:cNvSpPr txBox="1"/>
          </xdr:nvSpPr>
          <xdr:spPr>
            <a:xfrm>
              <a:off x="4683760" y="11107609"/>
              <a:ext cx="1905137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m:rPr>
                          <m:brk m:alnAt="23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20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300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(420−120)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300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300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(420−120)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E0EEA94-6AFC-BD44-BD7A-A13ED7D7DBED}"/>
                </a:ext>
              </a:extLst>
            </xdr:cNvPr>
            <xdr:cNvSpPr txBox="1"/>
          </xdr:nvSpPr>
          <xdr:spPr>
            <a:xfrm>
              <a:off x="4683760" y="11107609"/>
              <a:ext cx="1905137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120^300▒〖𝑥𝑑𝑥/((420−120))+∫24_300^420▒300𝑑𝑥/((420−120))〗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290023</xdr:colOff>
      <xdr:row>38</xdr:row>
      <xdr:rowOff>277595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81A4E95-0D0F-BA42-AC9D-113AF037E001}"/>
                </a:ext>
              </a:extLst>
            </xdr:cNvPr>
            <xdr:cNvSpPr txBox="1"/>
          </xdr:nvSpPr>
          <xdr:spPr>
            <a:xfrm>
              <a:off x="6619703" y="6251675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300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120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2∗(300)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(420−300)∗300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(300)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81A4E95-0D0F-BA42-AC9D-113AF037E001}"/>
                </a:ext>
              </a:extLst>
            </xdr:cNvPr>
            <xdr:cNvSpPr txBox="1"/>
          </xdr:nvSpPr>
          <xdr:spPr>
            <a:xfrm>
              <a:off x="6619703" y="6251675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300^2−120^2)/(2∗(300))]+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(420−300)∗300)/((300))]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977260</xdr:colOff>
      <xdr:row>24</xdr:row>
      <xdr:rowOff>49886</xdr:rowOff>
    </xdr:from>
    <xdr:ext cx="494751" cy="1851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7EA6189-D735-7253-B163-BA877341753F}"/>
                </a:ext>
              </a:extLst>
            </xdr:cNvPr>
            <xdr:cNvSpPr txBox="1"/>
          </xdr:nvSpPr>
          <xdr:spPr>
            <a:xfrm>
              <a:off x="4805533" y="6664850"/>
              <a:ext cx="494751" cy="1851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Sup>
                    <m:sSub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𝑋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$6,0.75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∗</m:t>
                      </m:r>
                    </m:sup>
                  </m:sSubSup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7EA6189-D735-7253-B163-BA877341753F}"/>
                </a:ext>
              </a:extLst>
            </xdr:cNvPr>
            <xdr:cNvSpPr txBox="1"/>
          </xdr:nvSpPr>
          <xdr:spPr>
            <a:xfrm>
              <a:off x="4805533" y="6664850"/>
              <a:ext cx="494751" cy="1851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𝑋_$6,0.75^∗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4</xdr:col>
      <xdr:colOff>977260</xdr:colOff>
      <xdr:row>18</xdr:row>
      <xdr:rowOff>49886</xdr:rowOff>
    </xdr:from>
    <xdr:ext cx="494751" cy="1851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6C6ABB7-230A-E649-93DC-A1FDD2E14E7E}"/>
                </a:ext>
              </a:extLst>
            </xdr:cNvPr>
            <xdr:cNvSpPr txBox="1"/>
          </xdr:nvSpPr>
          <xdr:spPr>
            <a:xfrm>
              <a:off x="4805533" y="6664850"/>
              <a:ext cx="494751" cy="1851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Sup>
                    <m:sSub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𝑋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$5,0.75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∗</m:t>
                      </m:r>
                    </m:sup>
                  </m:sSubSup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6C6ABB7-230A-E649-93DC-A1FDD2E14E7E}"/>
                </a:ext>
              </a:extLst>
            </xdr:cNvPr>
            <xdr:cNvSpPr txBox="1"/>
          </xdr:nvSpPr>
          <xdr:spPr>
            <a:xfrm>
              <a:off x="4805533" y="6664850"/>
              <a:ext cx="494751" cy="1851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𝑋_$5,0.75^∗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4</xdr:col>
      <xdr:colOff>977260</xdr:colOff>
      <xdr:row>18</xdr:row>
      <xdr:rowOff>49886</xdr:rowOff>
    </xdr:from>
    <xdr:ext cx="494751" cy="1851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2859592-1665-ED45-948F-59BF5F732CC6}"/>
                </a:ext>
              </a:extLst>
            </xdr:cNvPr>
            <xdr:cNvSpPr txBox="1"/>
          </xdr:nvSpPr>
          <xdr:spPr>
            <a:xfrm>
              <a:off x="4805533" y="6664850"/>
              <a:ext cx="494751" cy="1851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Sup>
                    <m:sSub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𝑋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$5,0.75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∗</m:t>
                      </m:r>
                    </m:sup>
                  </m:sSubSup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2859592-1665-ED45-948F-59BF5F732CC6}"/>
                </a:ext>
              </a:extLst>
            </xdr:cNvPr>
            <xdr:cNvSpPr txBox="1"/>
          </xdr:nvSpPr>
          <xdr:spPr>
            <a:xfrm>
              <a:off x="4805533" y="6664850"/>
              <a:ext cx="494751" cy="1851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𝑋_$5,0.75^∗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2</xdr:col>
      <xdr:colOff>509735</xdr:colOff>
      <xdr:row>17</xdr:row>
      <xdr:rowOff>278303</xdr:rowOff>
    </xdr:from>
    <xdr:ext cx="494751" cy="1851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41A915F-3A25-2A48-ADD3-09E6E7B48785}"/>
                </a:ext>
              </a:extLst>
            </xdr:cNvPr>
            <xdr:cNvSpPr txBox="1"/>
          </xdr:nvSpPr>
          <xdr:spPr>
            <a:xfrm>
              <a:off x="2547217" y="4956289"/>
              <a:ext cx="494751" cy="1851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Sup>
                    <m:sSubSup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𝑋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$5,0.25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∗</m:t>
                      </m:r>
                    </m:sup>
                  </m:sSubSup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41A915F-3A25-2A48-ADD3-09E6E7B48785}"/>
                </a:ext>
              </a:extLst>
            </xdr:cNvPr>
            <xdr:cNvSpPr txBox="1"/>
          </xdr:nvSpPr>
          <xdr:spPr>
            <a:xfrm>
              <a:off x="2547217" y="4956289"/>
              <a:ext cx="494751" cy="1851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𝑋_$5,0.25^∗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25</xdr:row>
      <xdr:rowOff>12889</xdr:rowOff>
    </xdr:from>
    <xdr:ext cx="1905137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B0E09A7-60D5-9940-9386-41E76E35282E}"/>
                </a:ext>
              </a:extLst>
            </xdr:cNvPr>
            <xdr:cNvSpPr txBox="1"/>
          </xdr:nvSpPr>
          <xdr:spPr>
            <a:xfrm>
              <a:off x="4673600" y="10909489"/>
              <a:ext cx="1905137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m:rPr>
                          <m:brk m:alnAt="23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20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300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(420−120)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300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300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(420−120)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B0E09A7-60D5-9940-9386-41E76E35282E}"/>
                </a:ext>
              </a:extLst>
            </xdr:cNvPr>
            <xdr:cNvSpPr txBox="1"/>
          </xdr:nvSpPr>
          <xdr:spPr>
            <a:xfrm>
              <a:off x="4673600" y="10909489"/>
              <a:ext cx="1905137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120^300▒〖𝑥𝑑𝑥/((420−120))+∫24_300^420▒300𝑑𝑥/((420−120))〗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290023</xdr:colOff>
      <xdr:row>24</xdr:row>
      <xdr:rowOff>277595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3E1C567-7CBE-DA42-A3BC-01F2438FAE19}"/>
                </a:ext>
              </a:extLst>
            </xdr:cNvPr>
            <xdr:cNvSpPr txBox="1"/>
          </xdr:nvSpPr>
          <xdr:spPr>
            <a:xfrm>
              <a:off x="6614623" y="10894795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300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120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2∗(300)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(420−300)∗300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(300)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3E1C567-7CBE-DA42-A3BC-01F2438FAE19}"/>
                </a:ext>
              </a:extLst>
            </xdr:cNvPr>
            <xdr:cNvSpPr txBox="1"/>
          </xdr:nvSpPr>
          <xdr:spPr>
            <a:xfrm>
              <a:off x="6614623" y="10894795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300^2−120^2)/(2∗(300))]+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(420−300)∗300)/((300))]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9</xdr:col>
      <xdr:colOff>0</xdr:colOff>
      <xdr:row>25</xdr:row>
      <xdr:rowOff>19774</xdr:rowOff>
    </xdr:from>
    <xdr:ext cx="1839927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7F081B3-C219-7548-BF99-D1F0AA802205}"/>
                </a:ext>
              </a:extLst>
            </xdr:cNvPr>
            <xdr:cNvSpPr txBox="1"/>
          </xdr:nvSpPr>
          <xdr:spPr>
            <a:xfrm>
              <a:off x="9474748" y="7100709"/>
              <a:ext cx="1839927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m:rPr>
                          <m:brk m:alnAt="23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20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270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(420−120)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270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270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(420−120)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7F081B3-C219-7548-BF99-D1F0AA802205}"/>
                </a:ext>
              </a:extLst>
            </xdr:cNvPr>
            <xdr:cNvSpPr txBox="1"/>
          </xdr:nvSpPr>
          <xdr:spPr>
            <a:xfrm>
              <a:off x="9474748" y="7100709"/>
              <a:ext cx="1839927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120^270▒〖𝑥𝑑𝑥/((420−120))+∫24_270^420▒270𝑑𝑥/((420−120))〗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291338</xdr:colOff>
      <xdr:row>25</xdr:row>
      <xdr:rowOff>0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8CED187-3821-A743-8533-746DEAC97F1D}"/>
                </a:ext>
              </a:extLst>
            </xdr:cNvPr>
            <xdr:cNvSpPr txBox="1"/>
          </xdr:nvSpPr>
          <xdr:spPr>
            <a:xfrm>
              <a:off x="11410691" y="7080935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270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120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2∗(300)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(420−270)∗270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(300)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8CED187-3821-A743-8533-746DEAC97F1D}"/>
                </a:ext>
              </a:extLst>
            </xdr:cNvPr>
            <xdr:cNvSpPr txBox="1"/>
          </xdr:nvSpPr>
          <xdr:spPr>
            <a:xfrm>
              <a:off x="11410691" y="7080935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270^2−120^2)/(2∗(300))]+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(420−270)∗270)/((300))]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631821</xdr:colOff>
      <xdr:row>30</xdr:row>
      <xdr:rowOff>242195</xdr:rowOff>
    </xdr:from>
    <xdr:to>
      <xdr:col>8</xdr:col>
      <xdr:colOff>270008</xdr:colOff>
      <xdr:row>40</xdr:row>
      <xdr:rowOff>151779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101890-0894-BD1F-A5AA-39FF21757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567863</xdr:colOff>
      <xdr:row>20</xdr:row>
      <xdr:rowOff>76493</xdr:rowOff>
    </xdr:from>
    <xdr:to>
      <xdr:col>8</xdr:col>
      <xdr:colOff>205392</xdr:colOff>
      <xdr:row>29</xdr:row>
      <xdr:rowOff>271799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4CD8D6-E873-9F82-96F9-38D6A756A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568960</xdr:colOff>
      <xdr:row>41</xdr:row>
      <xdr:rowOff>101600</xdr:rowOff>
    </xdr:from>
    <xdr:to>
      <xdr:col>8</xdr:col>
      <xdr:colOff>207147</xdr:colOff>
      <xdr:row>51</xdr:row>
      <xdr:rowOff>11184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958440-A530-9045-AE6E-38E088782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405802</xdr:colOff>
      <xdr:row>4</xdr:row>
      <xdr:rowOff>213075</xdr:rowOff>
    </xdr:from>
    <xdr:ext cx="1839927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5053BCC-CA1A-63B3-4BDD-8FAE25D21167}"/>
                </a:ext>
              </a:extLst>
            </xdr:cNvPr>
            <xdr:cNvSpPr txBox="1"/>
          </xdr:nvSpPr>
          <xdr:spPr>
            <a:xfrm>
              <a:off x="11472945" y="1180694"/>
              <a:ext cx="1839927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m:rPr>
                          <m:brk m:alnAt="23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20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199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(420−120)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US" sz="1100" b="0" i="1">
                              <a:latin typeface="Cambria Math" panose="02040503050406030204" pitchFamily="18" charset="0"/>
                            </a:rPr>
                            <m:t>1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99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199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(420−120)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5053BCC-CA1A-63B3-4BDD-8FAE25D21167}"/>
                </a:ext>
              </a:extLst>
            </xdr:cNvPr>
            <xdr:cNvSpPr txBox="1"/>
          </xdr:nvSpPr>
          <xdr:spPr>
            <a:xfrm>
              <a:off x="11472945" y="1180694"/>
              <a:ext cx="1839927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120^199▒〖𝑥𝑑𝑥/((420−120))+∫24_199^420▒199𝑑𝑥/((420−120))〗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15</xdr:col>
      <xdr:colOff>693571</xdr:colOff>
      <xdr:row>4</xdr:row>
      <xdr:rowOff>200186</xdr:rowOff>
    </xdr:from>
    <xdr:ext cx="1788438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68F15E3-F9BC-4654-AC1D-09C298F4E705}"/>
                </a:ext>
              </a:extLst>
            </xdr:cNvPr>
            <xdr:cNvSpPr txBox="1"/>
          </xdr:nvSpPr>
          <xdr:spPr>
            <a:xfrm>
              <a:off x="13417761" y="1167805"/>
              <a:ext cx="1788438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199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120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2∗(300)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(420−199)∗199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(300)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68F15E3-F9BC-4654-AC1D-09C298F4E705}"/>
                </a:ext>
              </a:extLst>
            </xdr:cNvPr>
            <xdr:cNvSpPr txBox="1"/>
          </xdr:nvSpPr>
          <xdr:spPr>
            <a:xfrm>
              <a:off x="13417761" y="1167805"/>
              <a:ext cx="1788438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199^2−120^2)/(2∗(300))]+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(420−199)∗199)/((300))]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13</xdr:col>
      <xdr:colOff>163286</xdr:colOff>
      <xdr:row>7</xdr:row>
      <xdr:rowOff>2</xdr:rowOff>
    </xdr:from>
    <xdr:ext cx="2097562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B70CB13-8B15-D740-AAF9-DD12DA31203B}"/>
                </a:ext>
              </a:extLst>
            </xdr:cNvPr>
            <xdr:cNvSpPr txBox="1"/>
          </xdr:nvSpPr>
          <xdr:spPr>
            <a:xfrm>
              <a:off x="11230429" y="1693335"/>
              <a:ext cx="2097562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m:rPr>
                          <m:brk m:alnAt="23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20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278.28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(420−120)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278.28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278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(420−120)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B70CB13-8B15-D740-AAF9-DD12DA31203B}"/>
                </a:ext>
              </a:extLst>
            </xdr:cNvPr>
            <xdr:cNvSpPr txBox="1"/>
          </xdr:nvSpPr>
          <xdr:spPr>
            <a:xfrm>
              <a:off x="11230429" y="1693335"/>
              <a:ext cx="2097562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120^278.28▒〖𝑥𝑑𝑥/((420−120))+∫24_278.28^420▒278𝑑𝑥/((420−120))〗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15</xdr:col>
      <xdr:colOff>682685</xdr:colOff>
      <xdr:row>6</xdr:row>
      <xdr:rowOff>213487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F8A71EC-134E-5244-85FE-54C1B8439006}"/>
                </a:ext>
              </a:extLst>
            </xdr:cNvPr>
            <xdr:cNvSpPr txBox="1"/>
          </xdr:nvSpPr>
          <xdr:spPr>
            <a:xfrm>
              <a:off x="13406875" y="1664916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278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120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2∗(300)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(420−278)∗278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(300)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F8A71EC-134E-5244-85FE-54C1B8439006}"/>
                </a:ext>
              </a:extLst>
            </xdr:cNvPr>
            <xdr:cNvSpPr txBox="1"/>
          </xdr:nvSpPr>
          <xdr:spPr>
            <a:xfrm>
              <a:off x="13406875" y="1664916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278^2−120^2)/(2∗(300))]+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(420−278)∗278)/((300))]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13</xdr:col>
      <xdr:colOff>296334</xdr:colOff>
      <xdr:row>8</xdr:row>
      <xdr:rowOff>229811</xdr:rowOff>
    </xdr:from>
    <xdr:ext cx="1917063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B33E709-A611-F94C-A8BB-5E6D74B848D4}"/>
                </a:ext>
              </a:extLst>
            </xdr:cNvPr>
            <xdr:cNvSpPr txBox="1"/>
          </xdr:nvSpPr>
          <xdr:spPr>
            <a:xfrm>
              <a:off x="11363477" y="2165049"/>
              <a:ext cx="1917063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m:rPr>
                          <m:brk m:alnAt="23"/>
                        </m:rPr>
                        <a:rPr lang="en-US" sz="1100" b="0" i="1">
                          <a:latin typeface="Cambria Math" panose="02040503050406030204" pitchFamily="18" charset="0"/>
                        </a:rPr>
                        <m:t>1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20</m:t>
                      </m:r>
                    </m:sub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400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(420−120)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400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400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(420−120)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B33E709-A611-F94C-A8BB-5E6D74B848D4}"/>
                </a:ext>
              </a:extLst>
            </xdr:cNvPr>
            <xdr:cNvSpPr txBox="1"/>
          </xdr:nvSpPr>
          <xdr:spPr>
            <a:xfrm>
              <a:off x="11363477" y="2165049"/>
              <a:ext cx="1917063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120^400▒〖𝑥𝑑𝑥/((420−120))+∫24_400^420▒400𝑑𝑥/((420−120))〗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15</xdr:col>
      <xdr:colOff>665751</xdr:colOff>
      <xdr:row>8</xdr:row>
      <xdr:rowOff>220745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2D25DB9-FFF8-D24B-99C8-B6C577E37C95}"/>
                </a:ext>
              </a:extLst>
            </xdr:cNvPr>
            <xdr:cNvSpPr txBox="1"/>
          </xdr:nvSpPr>
          <xdr:spPr>
            <a:xfrm>
              <a:off x="13389941" y="2155983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400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120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2∗(300)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(420−400)∗400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(300)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2D25DB9-FFF8-D24B-99C8-B6C577E37C95}"/>
                </a:ext>
              </a:extLst>
            </xdr:cNvPr>
            <xdr:cNvSpPr txBox="1"/>
          </xdr:nvSpPr>
          <xdr:spPr>
            <a:xfrm>
              <a:off x="13389941" y="2155983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400^2−120^2)/(2∗(300))]+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(420−400)∗400)/((300))]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643466</xdr:colOff>
      <xdr:row>2</xdr:row>
      <xdr:rowOff>228599</xdr:rowOff>
    </xdr:from>
    <xdr:ext cx="2218267" cy="1919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547CC4F-9860-39CF-98A3-3E6C1F90D945}"/>
                </a:ext>
              </a:extLst>
            </xdr:cNvPr>
            <xdr:cNvSpPr txBox="1"/>
          </xdr:nvSpPr>
          <xdr:spPr>
            <a:xfrm>
              <a:off x="3132666" y="719666"/>
              <a:ext cx="2218267" cy="1919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𝐷</m:t>
                  </m:r>
                </m:oMath>
              </a14:m>
              <a:r>
                <a:rPr lang="en-US" sz="1100"/>
                <a:t>⏐S=High~U[240,420]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547CC4F-9860-39CF-98A3-3E6C1F90D945}"/>
                </a:ext>
              </a:extLst>
            </xdr:cNvPr>
            <xdr:cNvSpPr txBox="1"/>
          </xdr:nvSpPr>
          <xdr:spPr>
            <a:xfrm>
              <a:off x="3132666" y="719666"/>
              <a:ext cx="2218267" cy="1919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𝐷</a:t>
              </a:r>
              <a:r>
                <a:rPr lang="en-US" sz="1100"/>
                <a:t>⏐S=High~U[240,420]</a:t>
              </a:r>
            </a:p>
          </xdr:txBody>
        </xdr:sp>
      </mc:Fallback>
    </mc:AlternateContent>
    <xdr:clientData/>
  </xdr:oneCellAnchor>
  <xdr:oneCellAnchor>
    <xdr:from>
      <xdr:col>4</xdr:col>
      <xdr:colOff>626533</xdr:colOff>
      <xdr:row>3</xdr:row>
      <xdr:rowOff>228600</xdr:rowOff>
    </xdr:from>
    <xdr:ext cx="2218267" cy="1919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7EEB056-D0AB-CA47-A351-CD2EB9D0A852}"/>
                </a:ext>
              </a:extLst>
            </xdr:cNvPr>
            <xdr:cNvSpPr txBox="1"/>
          </xdr:nvSpPr>
          <xdr:spPr>
            <a:xfrm>
              <a:off x="3115733" y="965200"/>
              <a:ext cx="2218267" cy="1919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𝐷</m:t>
                  </m:r>
                </m:oMath>
              </a14:m>
              <a:r>
                <a:rPr lang="en-US" sz="1100"/>
                <a:t>⏐S=Low~U[120,260]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7EEB056-D0AB-CA47-A351-CD2EB9D0A852}"/>
                </a:ext>
              </a:extLst>
            </xdr:cNvPr>
            <xdr:cNvSpPr txBox="1"/>
          </xdr:nvSpPr>
          <xdr:spPr>
            <a:xfrm>
              <a:off x="3115733" y="965200"/>
              <a:ext cx="2218267" cy="1919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𝐷</a:t>
              </a:r>
              <a:r>
                <a:rPr lang="en-US" sz="1100"/>
                <a:t>⏐S=Low~U[120,260]</a:t>
              </a:r>
            </a:p>
          </xdr:txBody>
        </xdr:sp>
      </mc:Fallback>
    </mc:AlternateContent>
    <xdr:clientData/>
  </xdr:oneCellAnchor>
  <xdr:oneCellAnchor>
    <xdr:from>
      <xdr:col>2</xdr:col>
      <xdr:colOff>347133</xdr:colOff>
      <xdr:row>25</xdr:row>
      <xdr:rowOff>0</xdr:rowOff>
    </xdr:from>
    <xdr:ext cx="3001912" cy="2531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97876D8-FAA3-23D7-7C5A-CBCC49C0D2CB}"/>
                </a:ext>
              </a:extLst>
            </xdr:cNvPr>
            <xdr:cNvSpPr txBox="1"/>
          </xdr:nvSpPr>
          <xdr:spPr>
            <a:xfrm>
              <a:off x="1176866" y="4174067"/>
              <a:ext cx="3001912" cy="2531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𝑄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0/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h𝑖𝑔h</m:t>
                          </m:r>
                        </m:sub>
                      </m:s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−240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420−240</m:t>
                      </m:r>
                    </m:den>
                  </m:f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100"/>
                <a:t>0.5=&gt;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𝑄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0/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h𝑖𝑔h</m:t>
                      </m:r>
                    </m:sub>
                  </m:sSub>
                </m:oMath>
              </a14:m>
              <a:r>
                <a:rPr lang="en-US" sz="1100"/>
                <a:t>=0.5*180+240=&gt;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𝑄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0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𝐼h𝑖𝑔h</m:t>
                      </m:r>
                    </m:sub>
                  </m:sSub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97876D8-FAA3-23D7-7C5A-CBCC49C0D2CB}"/>
                </a:ext>
              </a:extLst>
            </xdr:cNvPr>
            <xdr:cNvSpPr txBox="1"/>
          </xdr:nvSpPr>
          <xdr:spPr>
            <a:xfrm>
              <a:off x="1176866" y="4174067"/>
              <a:ext cx="3001912" cy="2531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𝑄_(0/ℎ𝑖𝑔ℎ)−240)/(420−240)=</a:t>
              </a:r>
              <a:r>
                <a:rPr lang="en-US" sz="1100"/>
                <a:t>0.5=&gt;</a:t>
              </a:r>
              <a:r>
                <a:rPr lang="en-US" sz="1100" b="0" i="0">
                  <a:latin typeface="Cambria Math" panose="02040503050406030204" pitchFamily="18" charset="0"/>
                </a:rPr>
                <a:t>𝑄_(0/ℎ𝑖𝑔ℎ)</a:t>
              </a:r>
              <a:r>
                <a:rPr lang="en-US" sz="1100"/>
                <a:t>=0.5*180+240=&gt;</a:t>
              </a:r>
              <a:r>
                <a:rPr lang="en-US" sz="1100" b="0" i="0">
                  <a:latin typeface="Cambria Math" panose="02040503050406030204" pitchFamily="18" charset="0"/>
                </a:rPr>
                <a:t>𝑄_0𝐼ℎ𝑖𝑔ℎ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2</xdr:col>
      <xdr:colOff>499533</xdr:colOff>
      <xdr:row>30</xdr:row>
      <xdr:rowOff>228601</xdr:rowOff>
    </xdr:from>
    <xdr:ext cx="2866106" cy="251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A558DB1-16BE-E845-87E8-F5D5B6E098E1}"/>
                </a:ext>
              </a:extLst>
            </xdr:cNvPr>
            <xdr:cNvSpPr txBox="1"/>
          </xdr:nvSpPr>
          <xdr:spPr>
            <a:xfrm>
              <a:off x="1329266" y="5630334"/>
              <a:ext cx="2866106" cy="251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𝑄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0/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𝑙𝑜𝑤</m:t>
                          </m:r>
                        </m:sub>
                      </m:s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−120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260−120</m:t>
                      </m:r>
                    </m:den>
                  </m:f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100"/>
                <a:t>0.5=&gt;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𝑄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0/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𝑙𝑜𝑤</m:t>
                      </m:r>
                    </m:sub>
                  </m:sSub>
                </m:oMath>
              </a14:m>
              <a:r>
                <a:rPr lang="en-US" sz="1100"/>
                <a:t>=0.5*140+120=&gt;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𝑄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0/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𝑙𝑜𝑤</m:t>
                      </m:r>
                    </m:sub>
                  </m:sSub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A558DB1-16BE-E845-87E8-F5D5B6E098E1}"/>
                </a:ext>
              </a:extLst>
            </xdr:cNvPr>
            <xdr:cNvSpPr txBox="1"/>
          </xdr:nvSpPr>
          <xdr:spPr>
            <a:xfrm>
              <a:off x="1329266" y="5630334"/>
              <a:ext cx="2866106" cy="251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𝑄_(0/𝑙𝑜𝑤)−120)/(260−120)=</a:t>
              </a:r>
              <a:r>
                <a:rPr lang="en-US" sz="1100"/>
                <a:t>0.5=&gt;</a:t>
              </a:r>
              <a:r>
                <a:rPr lang="en-US" sz="1100" b="0" i="0">
                  <a:latin typeface="Cambria Math" panose="02040503050406030204" pitchFamily="18" charset="0"/>
                </a:rPr>
                <a:t>𝑄_(0/𝑙𝑜𝑤)</a:t>
              </a:r>
              <a:r>
                <a:rPr lang="en-US" sz="1100"/>
                <a:t>=0.5*140+120=&gt;</a:t>
              </a:r>
              <a:r>
                <a:rPr lang="en-US" sz="1100" b="0" i="0">
                  <a:latin typeface="Cambria Math" panose="02040503050406030204" pitchFamily="18" charset="0"/>
                </a:rPr>
                <a:t>𝑄_(0/𝑙𝑜𝑤)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2</xdr:col>
      <xdr:colOff>8467</xdr:colOff>
      <xdr:row>39</xdr:row>
      <xdr:rowOff>33866</xdr:rowOff>
    </xdr:from>
    <xdr:ext cx="3144900" cy="2531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B6918FF-049A-3E44-9F2C-DF059C8C746A}"/>
                </a:ext>
              </a:extLst>
            </xdr:cNvPr>
            <xdr:cNvSpPr txBox="1"/>
          </xdr:nvSpPr>
          <xdr:spPr>
            <a:xfrm>
              <a:off x="838200" y="7645399"/>
              <a:ext cx="3144900" cy="2531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𝑄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2/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h𝑖𝑔h</m:t>
                          </m:r>
                        </m:sub>
                      </m:s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−240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420−240</m:t>
                      </m:r>
                    </m:den>
                  </m:f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100"/>
                <a:t>0.62=&gt;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𝑄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2/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h𝑖𝑔h</m:t>
                      </m:r>
                    </m:sub>
                  </m:sSub>
                </m:oMath>
              </a14:m>
              <a:r>
                <a:rPr lang="en-US" sz="1100"/>
                <a:t>=0.62*180+240=&gt;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𝑄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2/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h𝑖𝑔h</m:t>
                      </m:r>
                    </m:sub>
                  </m:sSub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B6918FF-049A-3E44-9F2C-DF059C8C746A}"/>
                </a:ext>
              </a:extLst>
            </xdr:cNvPr>
            <xdr:cNvSpPr txBox="1"/>
          </xdr:nvSpPr>
          <xdr:spPr>
            <a:xfrm>
              <a:off x="838200" y="7645399"/>
              <a:ext cx="3144900" cy="2531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𝑄_(2/ℎ𝑖𝑔ℎ)−240)/(420−240)=</a:t>
              </a:r>
              <a:r>
                <a:rPr lang="en-US" sz="1100"/>
                <a:t>0.62=&gt;</a:t>
              </a:r>
              <a:r>
                <a:rPr lang="en-US" sz="1100" b="0" i="0">
                  <a:latin typeface="Cambria Math" panose="02040503050406030204" pitchFamily="18" charset="0"/>
                </a:rPr>
                <a:t>𝑄_(2/ℎ𝑖𝑔ℎ)</a:t>
              </a:r>
              <a:r>
                <a:rPr lang="en-US" sz="1100"/>
                <a:t>=0.62*180+240=&gt;</a:t>
              </a:r>
              <a:r>
                <a:rPr lang="en-US" sz="1100" b="0" i="0">
                  <a:latin typeface="Cambria Math" panose="02040503050406030204" pitchFamily="18" charset="0"/>
                </a:rPr>
                <a:t>𝑄_(2/ℎ𝑖𝑔ℎ)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2</xdr:col>
      <xdr:colOff>8467</xdr:colOff>
      <xdr:row>45</xdr:row>
      <xdr:rowOff>33866</xdr:rowOff>
    </xdr:from>
    <xdr:ext cx="3009093" cy="251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8DF70B4-8627-E048-8ACF-5D83BC68C19A}"/>
                </a:ext>
              </a:extLst>
            </xdr:cNvPr>
            <xdr:cNvSpPr txBox="1"/>
          </xdr:nvSpPr>
          <xdr:spPr>
            <a:xfrm>
              <a:off x="838200" y="9118599"/>
              <a:ext cx="3009093" cy="251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𝑄</m:t>
                          </m:r>
                        </m:e>
                        <m:sub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2/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𝑙𝑜𝑤</m:t>
                          </m:r>
                        </m:sub>
                      </m:s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−120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260−120</m:t>
                      </m:r>
                    </m:den>
                  </m:f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100"/>
                <a:t>0.62=&gt;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𝑄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2/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𝑙𝑜𝑤</m:t>
                      </m:r>
                    </m:sub>
                  </m:sSub>
                </m:oMath>
              </a14:m>
              <a:r>
                <a:rPr lang="en-US" sz="1100"/>
                <a:t>=0.62*140+120=&gt;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𝑄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2/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𝑙𝑜𝑤</m:t>
                      </m:r>
                    </m:sub>
                  </m:sSub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8DF70B4-8627-E048-8ACF-5D83BC68C19A}"/>
                </a:ext>
              </a:extLst>
            </xdr:cNvPr>
            <xdr:cNvSpPr txBox="1"/>
          </xdr:nvSpPr>
          <xdr:spPr>
            <a:xfrm>
              <a:off x="838200" y="9118599"/>
              <a:ext cx="3009093" cy="251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𝑄_(2/𝑙𝑜𝑤)−120)/(260−120)=</a:t>
              </a:r>
              <a:r>
                <a:rPr lang="en-US" sz="1100"/>
                <a:t>0.62=&gt;</a:t>
              </a:r>
              <a:r>
                <a:rPr lang="en-US" sz="1100" b="0" i="0">
                  <a:latin typeface="Cambria Math" panose="02040503050406030204" pitchFamily="18" charset="0"/>
                </a:rPr>
                <a:t>𝑄_(2/𝑙𝑜𝑤)</a:t>
              </a:r>
              <a:r>
                <a:rPr lang="en-US" sz="1100"/>
                <a:t>=0.62*140+120=&gt;</a:t>
              </a:r>
              <a:r>
                <a:rPr lang="en-US" sz="1100" b="0" i="0">
                  <a:latin typeface="Cambria Math" panose="02040503050406030204" pitchFamily="18" charset="0"/>
                </a:rPr>
                <a:t>𝑄_(2/𝑙𝑜𝑤)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3</xdr:col>
      <xdr:colOff>550333</xdr:colOff>
      <xdr:row>54</xdr:row>
      <xdr:rowOff>122956</xdr:rowOff>
    </xdr:from>
    <xdr:ext cx="1845570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CF5E735-7E56-9F4D-AF04-54BB39670293}"/>
                </a:ext>
              </a:extLst>
            </xdr:cNvPr>
            <xdr:cNvSpPr txBox="1"/>
          </xdr:nvSpPr>
          <xdr:spPr>
            <a:xfrm>
              <a:off x="2209800" y="10926423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240</m:t>
                      </m:r>
                    </m:sub>
                    <m:sup>
                      <m:r>
                        <a:rPr lang="en-US" sz="11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330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(420−240)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330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330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(420−240)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CF5E735-7E56-9F4D-AF04-54BB39670293}"/>
                </a:ext>
              </a:extLst>
            </xdr:cNvPr>
            <xdr:cNvSpPr txBox="1"/>
          </xdr:nvSpPr>
          <xdr:spPr>
            <a:xfrm>
              <a:off x="2209800" y="10926423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240^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330▒〖</a:t>
              </a:r>
              <a:r>
                <a:rPr lang="en-US" sz="1100" b="0" i="0">
                  <a:latin typeface="Cambria Math" panose="02040503050406030204" pitchFamily="18" charset="0"/>
                </a:rPr>
                <a:t>𝑥𝑑𝑥/((420−240))+∫24_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330^</a:t>
              </a:r>
              <a:r>
                <a:rPr lang="en-US" sz="1100" b="0" i="0">
                  <a:latin typeface="Cambria Math" panose="02040503050406030204" pitchFamily="18" charset="0"/>
                </a:rPr>
                <a:t>420▒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</a:t>
              </a:r>
              <a:r>
                <a:rPr lang="en-US" sz="1100" b="0" i="0">
                  <a:latin typeface="Cambria Math" panose="02040503050406030204" pitchFamily="18" charset="0"/>
                </a:rPr>
                <a:t>𝑑𝑥/((420−240))〗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687956</xdr:colOff>
      <xdr:row>54</xdr:row>
      <xdr:rowOff>101600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67230EC-8E05-D242-BEAF-24880324C6AA}"/>
                </a:ext>
              </a:extLst>
            </xdr:cNvPr>
            <xdr:cNvSpPr txBox="1"/>
          </xdr:nvSpPr>
          <xdr:spPr>
            <a:xfrm>
              <a:off x="4218556" y="10905067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330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240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2∗(180)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330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)∗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330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(180)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67230EC-8E05-D242-BEAF-24880324C6AA}"/>
                </a:ext>
              </a:extLst>
            </xdr:cNvPr>
            <xdr:cNvSpPr txBox="1"/>
          </xdr:nvSpPr>
          <xdr:spPr>
            <a:xfrm>
              <a:off x="4218556" y="10905067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330^</a:t>
              </a:r>
              <a:r>
                <a:rPr lang="en-US" sz="1100" b="0" i="0">
                  <a:latin typeface="Cambria Math" panose="02040503050406030204" pitchFamily="18" charset="0"/>
                </a:rPr>
                <a:t>2−240^2)/(2∗(180))]+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</a:t>
              </a:r>
              <a:r>
                <a:rPr lang="en-US" sz="1100" b="0" i="0">
                  <a:latin typeface="Cambria Math" panose="02040503050406030204" pitchFamily="18" charset="0"/>
                </a:rPr>
                <a:t>)∗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330)/(</a:t>
              </a:r>
              <a:r>
                <a:rPr lang="en-US" sz="1100" b="0" i="0">
                  <a:latin typeface="Cambria Math" panose="02040503050406030204" pitchFamily="18" charset="0"/>
                </a:rPr>
                <a:t>(180))]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10</xdr:col>
      <xdr:colOff>290840</xdr:colOff>
      <xdr:row>55</xdr:row>
      <xdr:rowOff>108608</xdr:rowOff>
    </xdr:from>
    <xdr:ext cx="1842749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A581AFB-69F5-7847-B142-BA66CD3FA539}"/>
                </a:ext>
              </a:extLst>
            </xdr:cNvPr>
            <xdr:cNvSpPr txBox="1"/>
          </xdr:nvSpPr>
          <xdr:spPr>
            <a:xfrm>
              <a:off x="8434351" y="11141127"/>
              <a:ext cx="1842749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120</m:t>
                      </m:r>
                    </m:sub>
                    <m:sup>
                      <m:r>
                        <a:rPr lang="en-US" sz="11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190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(260−120)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1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90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260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190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(260−120)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A581AFB-69F5-7847-B142-BA66CD3FA539}"/>
                </a:ext>
              </a:extLst>
            </xdr:cNvPr>
            <xdr:cNvSpPr txBox="1"/>
          </xdr:nvSpPr>
          <xdr:spPr>
            <a:xfrm>
              <a:off x="8434351" y="11141127"/>
              <a:ext cx="1842749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120^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190▒〖</a:t>
              </a:r>
              <a:r>
                <a:rPr lang="en-US" sz="1100" b="0" i="0">
                  <a:latin typeface="Cambria Math" panose="02040503050406030204" pitchFamily="18" charset="0"/>
                </a:rPr>
                <a:t>𝑥𝑑𝑥/((260−120))+∫24_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190^</a:t>
              </a:r>
              <a:r>
                <a:rPr lang="en-US" sz="1100" b="0" i="0">
                  <a:latin typeface="Cambria Math" panose="02040503050406030204" pitchFamily="18" charset="0"/>
                </a:rPr>
                <a:t>260▒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190</a:t>
              </a:r>
              <a:r>
                <a:rPr lang="en-US" sz="1100" b="0" i="0">
                  <a:latin typeface="Cambria Math" panose="02040503050406030204" pitchFamily="18" charset="0"/>
                </a:rPr>
                <a:t>𝑑𝑥/((260−120))〗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641745</xdr:colOff>
      <xdr:row>55</xdr:row>
      <xdr:rowOff>87252</xdr:rowOff>
    </xdr:from>
    <xdr:ext cx="1796902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4A99477-576E-6641-B893-652B8719628A}"/>
                </a:ext>
              </a:extLst>
            </xdr:cNvPr>
            <xdr:cNvSpPr txBox="1"/>
          </xdr:nvSpPr>
          <xdr:spPr>
            <a:xfrm>
              <a:off x="10433348" y="11119771"/>
              <a:ext cx="1796902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190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120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2∗(140)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(260−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190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)∗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190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(140)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4A99477-576E-6641-B893-652B8719628A}"/>
                </a:ext>
              </a:extLst>
            </xdr:cNvPr>
            <xdr:cNvSpPr txBox="1"/>
          </xdr:nvSpPr>
          <xdr:spPr>
            <a:xfrm>
              <a:off x="10433348" y="11119771"/>
              <a:ext cx="1796902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190^</a:t>
              </a:r>
              <a:r>
                <a:rPr lang="en-US" sz="1100" b="0" i="0">
                  <a:latin typeface="Cambria Math" panose="02040503050406030204" pitchFamily="18" charset="0"/>
                </a:rPr>
                <a:t>2−120^2)/(2∗(140))]+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(260−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190</a:t>
              </a:r>
              <a:r>
                <a:rPr lang="en-US" sz="1100" b="0" i="0">
                  <a:latin typeface="Cambria Math" panose="02040503050406030204" pitchFamily="18" charset="0"/>
                </a:rPr>
                <a:t>)∗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190)/(</a:t>
              </a:r>
              <a:r>
                <a:rPr lang="en-US" sz="1100" b="0" i="0">
                  <a:latin typeface="Cambria Math" panose="02040503050406030204" pitchFamily="18" charset="0"/>
                </a:rPr>
                <a:t>(140))]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3</xdr:col>
      <xdr:colOff>552013</xdr:colOff>
      <xdr:row>57</xdr:row>
      <xdr:rowOff>78103</xdr:rowOff>
    </xdr:from>
    <xdr:ext cx="1845570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43B4557-7CB0-EE47-AFFF-AD70BA359809}"/>
                </a:ext>
              </a:extLst>
            </xdr:cNvPr>
            <xdr:cNvSpPr txBox="1"/>
          </xdr:nvSpPr>
          <xdr:spPr>
            <a:xfrm>
              <a:off x="3024150" y="11847416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240</m:t>
                      </m:r>
                    </m:sub>
                    <m:sup>
                      <m:r>
                        <a:rPr lang="en-US" sz="11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352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(420−240)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352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(420−240)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43B4557-7CB0-EE47-AFFF-AD70BA359809}"/>
                </a:ext>
              </a:extLst>
            </xdr:cNvPr>
            <xdr:cNvSpPr txBox="1"/>
          </xdr:nvSpPr>
          <xdr:spPr>
            <a:xfrm>
              <a:off x="3024150" y="11847416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240^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352▒〖</a:t>
              </a:r>
              <a:r>
                <a:rPr lang="en-US" sz="1100" b="0" i="0">
                  <a:latin typeface="Cambria Math" panose="02040503050406030204" pitchFamily="18" charset="0"/>
                </a:rPr>
                <a:t>𝑥𝑑𝑥/((420−240))+∫24_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352^</a:t>
              </a:r>
              <a:r>
                <a:rPr lang="en-US" sz="1100" b="0" i="0">
                  <a:latin typeface="Cambria Math" panose="02040503050406030204" pitchFamily="18" charset="0"/>
                </a:rPr>
                <a:t>420▒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</a:t>
              </a:r>
              <a:r>
                <a:rPr lang="en-US" sz="1100" b="0" i="0">
                  <a:latin typeface="Cambria Math" panose="02040503050406030204" pitchFamily="18" charset="0"/>
                </a:rPr>
                <a:t>𝑑𝑥/((420−240))〗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689636</xdr:colOff>
      <xdr:row>57</xdr:row>
      <xdr:rowOff>56747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FE5B4D1C-A697-F542-A676-81DD9A6DBE09}"/>
                </a:ext>
              </a:extLst>
            </xdr:cNvPr>
            <xdr:cNvSpPr txBox="1"/>
          </xdr:nvSpPr>
          <xdr:spPr>
            <a:xfrm>
              <a:off x="5023147" y="11826060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352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240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2∗(180)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)∗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(180)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FE5B4D1C-A697-F542-A676-81DD9A6DBE09}"/>
                </a:ext>
              </a:extLst>
            </xdr:cNvPr>
            <xdr:cNvSpPr txBox="1"/>
          </xdr:nvSpPr>
          <xdr:spPr>
            <a:xfrm>
              <a:off x="5023147" y="11826060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352^</a:t>
              </a:r>
              <a:r>
                <a:rPr lang="en-US" sz="1100" b="0" i="0">
                  <a:latin typeface="Cambria Math" panose="02040503050406030204" pitchFamily="18" charset="0"/>
                </a:rPr>
                <a:t>2−240^2)/(2∗(180))]+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</a:t>
              </a:r>
              <a:r>
                <a:rPr lang="en-US" sz="1100" b="0" i="0">
                  <a:latin typeface="Cambria Math" panose="02040503050406030204" pitchFamily="18" charset="0"/>
                </a:rPr>
                <a:t>)∗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352)/(</a:t>
              </a:r>
              <a:r>
                <a:rPr lang="en-US" sz="1100" b="0" i="0">
                  <a:latin typeface="Cambria Math" panose="02040503050406030204" pitchFamily="18" charset="0"/>
                </a:rPr>
                <a:t>(180))]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10</xdr:col>
      <xdr:colOff>310229</xdr:colOff>
      <xdr:row>56</xdr:row>
      <xdr:rowOff>50441</xdr:rowOff>
    </xdr:from>
    <xdr:ext cx="1842749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19BB701-F30E-B144-97D1-9E527812563E}"/>
                </a:ext>
              </a:extLst>
            </xdr:cNvPr>
            <xdr:cNvSpPr txBox="1"/>
          </xdr:nvSpPr>
          <xdr:spPr>
            <a:xfrm>
              <a:off x="9277786" y="11451357"/>
              <a:ext cx="1842749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120</m:t>
                      </m:r>
                    </m:sub>
                    <m:sup>
                      <m:r>
                        <a:rPr lang="en-US" sz="11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207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(260−120)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207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260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190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(260−120)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19BB701-F30E-B144-97D1-9E527812563E}"/>
                </a:ext>
              </a:extLst>
            </xdr:cNvPr>
            <xdr:cNvSpPr txBox="1"/>
          </xdr:nvSpPr>
          <xdr:spPr>
            <a:xfrm>
              <a:off x="9277786" y="11451357"/>
              <a:ext cx="1842749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120^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207▒〖</a:t>
              </a:r>
              <a:r>
                <a:rPr lang="en-US" sz="1100" b="0" i="0">
                  <a:latin typeface="Cambria Math" panose="02040503050406030204" pitchFamily="18" charset="0"/>
                </a:rPr>
                <a:t>𝑥𝑑𝑥/((260−120))+∫24_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207^</a:t>
              </a:r>
              <a:r>
                <a:rPr lang="en-US" sz="1100" b="0" i="0">
                  <a:latin typeface="Cambria Math" panose="02040503050406030204" pitchFamily="18" charset="0"/>
                </a:rPr>
                <a:t>260▒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190</a:t>
              </a:r>
              <a:r>
                <a:rPr lang="en-US" sz="1100" b="0" i="0">
                  <a:latin typeface="Cambria Math" panose="02040503050406030204" pitchFamily="18" charset="0"/>
                </a:rPr>
                <a:t>𝑑𝑥/((260−120))〗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661134</xdr:colOff>
      <xdr:row>56</xdr:row>
      <xdr:rowOff>29085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21037C53-5049-1146-8565-9239DA21A064}"/>
                </a:ext>
              </a:extLst>
            </xdr:cNvPr>
            <xdr:cNvSpPr txBox="1"/>
          </xdr:nvSpPr>
          <xdr:spPr>
            <a:xfrm>
              <a:off x="11276783" y="11430001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207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120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2∗(140)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(260−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207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)∗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207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(140)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21037C53-5049-1146-8565-9239DA21A064}"/>
                </a:ext>
              </a:extLst>
            </xdr:cNvPr>
            <xdr:cNvSpPr txBox="1"/>
          </xdr:nvSpPr>
          <xdr:spPr>
            <a:xfrm>
              <a:off x="11276783" y="11430001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207^</a:t>
              </a:r>
              <a:r>
                <a:rPr lang="en-US" sz="1100" b="0" i="0">
                  <a:latin typeface="Cambria Math" panose="02040503050406030204" pitchFamily="18" charset="0"/>
                </a:rPr>
                <a:t>2−120^2)/(2∗(140))]+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(260−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207</a:t>
              </a:r>
              <a:r>
                <a:rPr lang="en-US" sz="1100" b="0" i="0">
                  <a:latin typeface="Cambria Math" panose="02040503050406030204" pitchFamily="18" charset="0"/>
                </a:rPr>
                <a:t>)∗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207)/(</a:t>
              </a:r>
              <a:r>
                <a:rPr lang="en-US" sz="1100" b="0" i="0">
                  <a:latin typeface="Cambria Math" panose="02040503050406030204" pitchFamily="18" charset="0"/>
                </a:rPr>
                <a:t>(140))]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3</xdr:col>
      <xdr:colOff>533206</xdr:colOff>
      <xdr:row>58</xdr:row>
      <xdr:rowOff>69829</xdr:rowOff>
    </xdr:from>
    <xdr:ext cx="1845570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502EC62F-526B-E049-9D43-C97A8F97C9A5}"/>
                </a:ext>
              </a:extLst>
            </xdr:cNvPr>
            <xdr:cNvSpPr txBox="1"/>
          </xdr:nvSpPr>
          <xdr:spPr>
            <a:xfrm>
              <a:off x="3005343" y="12207539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240</m:t>
                      </m:r>
                    </m:sub>
                    <m:sup>
                      <m:r>
                        <a:rPr lang="en-US" sz="11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330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(420−240)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330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330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(420−240)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502EC62F-526B-E049-9D43-C97A8F97C9A5}"/>
                </a:ext>
              </a:extLst>
            </xdr:cNvPr>
            <xdr:cNvSpPr txBox="1"/>
          </xdr:nvSpPr>
          <xdr:spPr>
            <a:xfrm>
              <a:off x="3005343" y="12207539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240^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330▒〖</a:t>
              </a:r>
              <a:r>
                <a:rPr lang="en-US" sz="1100" b="0" i="0">
                  <a:latin typeface="Cambria Math" panose="02040503050406030204" pitchFamily="18" charset="0"/>
                </a:rPr>
                <a:t>𝑥𝑑𝑥/((420−240))+∫24_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330^</a:t>
              </a:r>
              <a:r>
                <a:rPr lang="en-US" sz="1100" b="0" i="0">
                  <a:latin typeface="Cambria Math" panose="02040503050406030204" pitchFamily="18" charset="0"/>
                </a:rPr>
                <a:t>420▒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</a:t>
              </a:r>
              <a:r>
                <a:rPr lang="en-US" sz="1100" b="0" i="0">
                  <a:latin typeface="Cambria Math" panose="02040503050406030204" pitchFamily="18" charset="0"/>
                </a:rPr>
                <a:t>𝑑𝑥/((420−240))〗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670829</xdr:colOff>
      <xdr:row>58</xdr:row>
      <xdr:rowOff>48473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9B58FE2-9D59-284B-B22A-1380F0648F2B}"/>
                </a:ext>
              </a:extLst>
            </xdr:cNvPr>
            <xdr:cNvSpPr txBox="1"/>
          </xdr:nvSpPr>
          <xdr:spPr>
            <a:xfrm>
              <a:off x="5004340" y="12186183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330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240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2∗(180)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330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)∗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330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(180)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99B58FE2-9D59-284B-B22A-1380F0648F2B}"/>
                </a:ext>
              </a:extLst>
            </xdr:cNvPr>
            <xdr:cNvSpPr txBox="1"/>
          </xdr:nvSpPr>
          <xdr:spPr>
            <a:xfrm>
              <a:off x="5004340" y="12186183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330^</a:t>
              </a:r>
              <a:r>
                <a:rPr lang="en-US" sz="1100" b="0" i="0">
                  <a:latin typeface="Cambria Math" panose="02040503050406030204" pitchFamily="18" charset="0"/>
                </a:rPr>
                <a:t>2−240^2)/(2∗(180))]+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</a:t>
              </a:r>
              <a:r>
                <a:rPr lang="en-US" sz="1100" b="0" i="0">
                  <a:latin typeface="Cambria Math" panose="02040503050406030204" pitchFamily="18" charset="0"/>
                </a:rPr>
                <a:t>)∗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330)/(</a:t>
              </a:r>
              <a:r>
                <a:rPr lang="en-US" sz="1100" b="0" i="0">
                  <a:latin typeface="Cambria Math" panose="02040503050406030204" pitchFamily="18" charset="0"/>
                </a:rPr>
                <a:t>(180))]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3</xdr:col>
      <xdr:colOff>523511</xdr:colOff>
      <xdr:row>60</xdr:row>
      <xdr:rowOff>60134</xdr:rowOff>
    </xdr:from>
    <xdr:ext cx="1845570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04DA1D7-4DF7-5F46-B9D2-055C121A3019}"/>
                </a:ext>
              </a:extLst>
            </xdr:cNvPr>
            <xdr:cNvSpPr txBox="1"/>
          </xdr:nvSpPr>
          <xdr:spPr>
            <a:xfrm>
              <a:off x="2995648" y="12566241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240</m:t>
                      </m:r>
                    </m:sub>
                    <m:sup>
                      <m:r>
                        <a:rPr lang="en-US" sz="11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352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(420−240)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352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(420−240)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04DA1D7-4DF7-5F46-B9D2-055C121A3019}"/>
                </a:ext>
              </a:extLst>
            </xdr:cNvPr>
            <xdr:cNvSpPr txBox="1"/>
          </xdr:nvSpPr>
          <xdr:spPr>
            <a:xfrm>
              <a:off x="2995648" y="12566241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240^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352▒〖</a:t>
              </a:r>
              <a:r>
                <a:rPr lang="en-US" sz="1100" b="0" i="0">
                  <a:latin typeface="Cambria Math" panose="02040503050406030204" pitchFamily="18" charset="0"/>
                </a:rPr>
                <a:t>𝑥𝑑𝑥/((420−240))+∫24_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352^</a:t>
              </a:r>
              <a:r>
                <a:rPr lang="en-US" sz="1100" b="0" i="0">
                  <a:latin typeface="Cambria Math" panose="02040503050406030204" pitchFamily="18" charset="0"/>
                </a:rPr>
                <a:t>420▒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</a:t>
              </a:r>
              <a:r>
                <a:rPr lang="en-US" sz="1100" b="0" i="0">
                  <a:latin typeface="Cambria Math" panose="02040503050406030204" pitchFamily="18" charset="0"/>
                </a:rPr>
                <a:t>𝑑𝑥/((420−240))〗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661134</xdr:colOff>
      <xdr:row>60</xdr:row>
      <xdr:rowOff>38778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09129EE-9C49-A142-B69A-FC78562983E3}"/>
                </a:ext>
              </a:extLst>
            </xdr:cNvPr>
            <xdr:cNvSpPr txBox="1"/>
          </xdr:nvSpPr>
          <xdr:spPr>
            <a:xfrm>
              <a:off x="4994645" y="12544885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352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240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2∗(180)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)∗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(180)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09129EE-9C49-A142-B69A-FC78562983E3}"/>
                </a:ext>
              </a:extLst>
            </xdr:cNvPr>
            <xdr:cNvSpPr txBox="1"/>
          </xdr:nvSpPr>
          <xdr:spPr>
            <a:xfrm>
              <a:off x="4994645" y="12544885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352^</a:t>
              </a:r>
              <a:r>
                <a:rPr lang="en-US" sz="1100" b="0" i="0">
                  <a:latin typeface="Cambria Math" panose="02040503050406030204" pitchFamily="18" charset="0"/>
                </a:rPr>
                <a:t>2−240^2)/(2∗(180))]+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</a:t>
              </a:r>
              <a:r>
                <a:rPr lang="en-US" sz="1100" b="0" i="0">
                  <a:latin typeface="Cambria Math" panose="02040503050406030204" pitchFamily="18" charset="0"/>
                </a:rPr>
                <a:t>)∗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352)/(</a:t>
              </a:r>
              <a:r>
                <a:rPr lang="en-US" sz="1100" b="0" i="0">
                  <a:latin typeface="Cambria Math" panose="02040503050406030204" pitchFamily="18" charset="0"/>
                </a:rPr>
                <a:t>(180))]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3</xdr:col>
      <xdr:colOff>475038</xdr:colOff>
      <xdr:row>61</xdr:row>
      <xdr:rowOff>108608</xdr:rowOff>
    </xdr:from>
    <xdr:ext cx="1845570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36A941BD-A381-8049-A594-90CC8107DF38}"/>
                </a:ext>
              </a:extLst>
            </xdr:cNvPr>
            <xdr:cNvSpPr txBox="1"/>
          </xdr:nvSpPr>
          <xdr:spPr>
            <a:xfrm>
              <a:off x="2947175" y="13225478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240</m:t>
                      </m:r>
                    </m:sub>
                    <m:sup>
                      <m:r>
                        <a:rPr lang="en-US" sz="11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330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(420−240)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330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330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(420−240)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36A941BD-A381-8049-A594-90CC8107DF38}"/>
                </a:ext>
              </a:extLst>
            </xdr:cNvPr>
            <xdr:cNvSpPr txBox="1"/>
          </xdr:nvSpPr>
          <xdr:spPr>
            <a:xfrm>
              <a:off x="2947175" y="13225478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240^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330▒〖</a:t>
              </a:r>
              <a:r>
                <a:rPr lang="en-US" sz="1100" b="0" i="0">
                  <a:latin typeface="Cambria Math" panose="02040503050406030204" pitchFamily="18" charset="0"/>
                </a:rPr>
                <a:t>𝑥𝑑𝑥/((420−240))+∫24_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330^</a:t>
              </a:r>
              <a:r>
                <a:rPr lang="en-US" sz="1100" b="0" i="0">
                  <a:latin typeface="Cambria Math" panose="02040503050406030204" pitchFamily="18" charset="0"/>
                </a:rPr>
                <a:t>420▒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</a:t>
              </a:r>
              <a:r>
                <a:rPr lang="en-US" sz="1100" b="0" i="0">
                  <a:latin typeface="Cambria Math" panose="02040503050406030204" pitchFamily="18" charset="0"/>
                </a:rPr>
                <a:t>𝑑𝑥/((420−240))〗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612661</xdr:colOff>
      <xdr:row>61</xdr:row>
      <xdr:rowOff>87252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64186DA1-4FE6-9B4E-BADD-019CB9A6057F}"/>
                </a:ext>
              </a:extLst>
            </xdr:cNvPr>
            <xdr:cNvSpPr txBox="1"/>
          </xdr:nvSpPr>
          <xdr:spPr>
            <a:xfrm>
              <a:off x="4946172" y="13204122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330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240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2∗(180)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330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)∗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330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(180)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64186DA1-4FE6-9B4E-BADD-019CB9A6057F}"/>
                </a:ext>
              </a:extLst>
            </xdr:cNvPr>
            <xdr:cNvSpPr txBox="1"/>
          </xdr:nvSpPr>
          <xdr:spPr>
            <a:xfrm>
              <a:off x="4946172" y="13204122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330^</a:t>
              </a:r>
              <a:r>
                <a:rPr lang="en-US" sz="1100" b="0" i="0">
                  <a:latin typeface="Cambria Math" panose="02040503050406030204" pitchFamily="18" charset="0"/>
                </a:rPr>
                <a:t>2−240^2)/(2∗(180))]+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</a:t>
              </a:r>
              <a:r>
                <a:rPr lang="en-US" sz="1100" b="0" i="0">
                  <a:latin typeface="Cambria Math" panose="02040503050406030204" pitchFamily="18" charset="0"/>
                </a:rPr>
                <a:t>)∗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330)/(</a:t>
              </a:r>
              <a:r>
                <a:rPr lang="en-US" sz="1100" b="0" i="0">
                  <a:latin typeface="Cambria Math" panose="02040503050406030204" pitchFamily="18" charset="0"/>
                </a:rPr>
                <a:t>(180))]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3</xdr:col>
      <xdr:colOff>464761</xdr:colOff>
      <xdr:row>62</xdr:row>
      <xdr:rowOff>87798</xdr:rowOff>
    </xdr:from>
    <xdr:ext cx="1845570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B28B3B0-426D-0E4F-A65A-466FCEB9C325}"/>
                </a:ext>
              </a:extLst>
            </xdr:cNvPr>
            <xdr:cNvSpPr txBox="1"/>
          </xdr:nvSpPr>
          <xdr:spPr>
            <a:xfrm>
              <a:off x="2936898" y="13573065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240</m:t>
                      </m:r>
                    </m:sub>
                    <m:sup>
                      <m:r>
                        <a:rPr lang="en-US" sz="11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352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(420−240)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352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(420−240)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B28B3B0-426D-0E4F-A65A-466FCEB9C325}"/>
                </a:ext>
              </a:extLst>
            </xdr:cNvPr>
            <xdr:cNvSpPr txBox="1"/>
          </xdr:nvSpPr>
          <xdr:spPr>
            <a:xfrm>
              <a:off x="2936898" y="13573065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240^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352▒〖</a:t>
              </a:r>
              <a:r>
                <a:rPr lang="en-US" sz="1100" b="0" i="0">
                  <a:latin typeface="Cambria Math" panose="02040503050406030204" pitchFamily="18" charset="0"/>
                </a:rPr>
                <a:t>𝑥𝑑𝑥/((420−240))+∫24_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352^</a:t>
              </a:r>
              <a:r>
                <a:rPr lang="en-US" sz="1100" b="0" i="0">
                  <a:latin typeface="Cambria Math" panose="02040503050406030204" pitchFamily="18" charset="0"/>
                </a:rPr>
                <a:t>420▒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</a:t>
              </a:r>
              <a:r>
                <a:rPr lang="en-US" sz="1100" b="0" i="0">
                  <a:latin typeface="Cambria Math" panose="02040503050406030204" pitchFamily="18" charset="0"/>
                </a:rPr>
                <a:t>𝑑𝑥/((420−240))〗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602384</xdr:colOff>
      <xdr:row>62</xdr:row>
      <xdr:rowOff>66442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E281E976-6B2E-9744-A025-6A24C451E305}"/>
                </a:ext>
              </a:extLst>
            </xdr:cNvPr>
            <xdr:cNvSpPr txBox="1"/>
          </xdr:nvSpPr>
          <xdr:spPr>
            <a:xfrm>
              <a:off x="4935895" y="13551709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352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240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2∗(180)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)∗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(180)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E281E976-6B2E-9744-A025-6A24C451E305}"/>
                </a:ext>
              </a:extLst>
            </xdr:cNvPr>
            <xdr:cNvSpPr txBox="1"/>
          </xdr:nvSpPr>
          <xdr:spPr>
            <a:xfrm>
              <a:off x="4935895" y="13551709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352^</a:t>
              </a:r>
              <a:r>
                <a:rPr lang="en-US" sz="1100" b="0" i="0">
                  <a:latin typeface="Cambria Math" panose="02040503050406030204" pitchFamily="18" charset="0"/>
                </a:rPr>
                <a:t>2−240^2)/(2∗(180))]+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</a:t>
              </a:r>
              <a:r>
                <a:rPr lang="en-US" sz="1100" b="0" i="0">
                  <a:latin typeface="Cambria Math" panose="02040503050406030204" pitchFamily="18" charset="0"/>
                </a:rPr>
                <a:t>)∗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352)/(</a:t>
              </a:r>
              <a:r>
                <a:rPr lang="en-US" sz="1100" b="0" i="0">
                  <a:latin typeface="Cambria Math" panose="02040503050406030204" pitchFamily="18" charset="0"/>
                </a:rPr>
                <a:t>(180))]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3</xdr:col>
      <xdr:colOff>571985</xdr:colOff>
      <xdr:row>53</xdr:row>
      <xdr:rowOff>31050</xdr:rowOff>
    </xdr:from>
    <xdr:ext cx="1845570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0FDDE2C2-B1BC-CF4D-B31B-3585B22BE4C5}"/>
                </a:ext>
              </a:extLst>
            </xdr:cNvPr>
            <xdr:cNvSpPr txBox="1"/>
          </xdr:nvSpPr>
          <xdr:spPr>
            <a:xfrm>
              <a:off x="3044122" y="10695172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240</m:t>
                      </m:r>
                    </m:sub>
                    <m:sup>
                      <m:r>
                        <a:rPr lang="en-US" sz="11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352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(420−240)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420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352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(420−240)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0FDDE2C2-B1BC-CF4D-B31B-3585B22BE4C5}"/>
                </a:ext>
              </a:extLst>
            </xdr:cNvPr>
            <xdr:cNvSpPr txBox="1"/>
          </xdr:nvSpPr>
          <xdr:spPr>
            <a:xfrm>
              <a:off x="3044122" y="10695172"/>
              <a:ext cx="1845570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240^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352▒〖</a:t>
              </a:r>
              <a:r>
                <a:rPr lang="en-US" sz="1100" b="0" i="0">
                  <a:latin typeface="Cambria Math" panose="02040503050406030204" pitchFamily="18" charset="0"/>
                </a:rPr>
                <a:t>𝑥𝑑𝑥/((420−240))+∫24_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352^</a:t>
              </a:r>
              <a:r>
                <a:rPr lang="en-US" sz="1100" b="0" i="0">
                  <a:latin typeface="Cambria Math" panose="02040503050406030204" pitchFamily="18" charset="0"/>
                </a:rPr>
                <a:t>420▒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</a:t>
              </a:r>
              <a:r>
                <a:rPr lang="en-US" sz="1100" b="0" i="0">
                  <a:latin typeface="Cambria Math" panose="02040503050406030204" pitchFamily="18" charset="0"/>
                </a:rPr>
                <a:t>𝑑𝑥/((420−240))〗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709608</xdr:colOff>
      <xdr:row>53</xdr:row>
      <xdr:rowOff>9694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B06CBD5-BC41-8D47-966F-96CDBC9E1970}"/>
                </a:ext>
              </a:extLst>
            </xdr:cNvPr>
            <xdr:cNvSpPr txBox="1"/>
          </xdr:nvSpPr>
          <xdr:spPr>
            <a:xfrm>
              <a:off x="5043119" y="10673816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352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240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2∗(180)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(420−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)∗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352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(180)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B06CBD5-BC41-8D47-966F-96CDBC9E1970}"/>
                </a:ext>
              </a:extLst>
            </xdr:cNvPr>
            <xdr:cNvSpPr txBox="1"/>
          </xdr:nvSpPr>
          <xdr:spPr>
            <a:xfrm>
              <a:off x="5043119" y="10673816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352^</a:t>
              </a:r>
              <a:r>
                <a:rPr lang="en-US" sz="1100" b="0" i="0">
                  <a:latin typeface="Cambria Math" panose="02040503050406030204" pitchFamily="18" charset="0"/>
                </a:rPr>
                <a:t>2−240^2)/(2∗(180))]+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(420−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</a:t>
              </a:r>
              <a:r>
                <a:rPr lang="en-US" sz="1100" b="0" i="0">
                  <a:latin typeface="Cambria Math" panose="02040503050406030204" pitchFamily="18" charset="0"/>
                </a:rPr>
                <a:t>)∗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352)/(</a:t>
              </a:r>
              <a:r>
                <a:rPr lang="en-US" sz="1100" b="0" i="0">
                  <a:latin typeface="Cambria Math" panose="02040503050406030204" pitchFamily="18" charset="0"/>
                </a:rPr>
                <a:t>(180))]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10</xdr:col>
      <xdr:colOff>310232</xdr:colOff>
      <xdr:row>59</xdr:row>
      <xdr:rowOff>60136</xdr:rowOff>
    </xdr:from>
    <xdr:ext cx="1842749" cy="2655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B94EE130-5ECF-4545-9A77-29BD6C1379C0}"/>
                </a:ext>
              </a:extLst>
            </xdr:cNvPr>
            <xdr:cNvSpPr txBox="1"/>
          </xdr:nvSpPr>
          <xdr:spPr>
            <a:xfrm>
              <a:off x="11197331" y="14989907"/>
              <a:ext cx="1842749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nary>
                    <m:nary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120</m:t>
                      </m:r>
                    </m:sub>
                    <m:sup>
                      <m:r>
                        <a:rPr lang="en-US" sz="1100" b="0" i="1">
                          <a:solidFill>
                            <a:srgbClr val="FF0000"/>
                          </a:solidFill>
                          <a:latin typeface="Cambria Math" panose="02040503050406030204" pitchFamily="18" charset="0"/>
                        </a:rPr>
                        <m:t>207</m:t>
                      </m:r>
                    </m:sup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𝑥𝑑𝑥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(260−120)</m:t>
                          </m:r>
                        </m:den>
                      </m:f>
                      <m:r>
                        <a:rPr lang="en-US" sz="1100" b="0" i="1">
                          <a:latin typeface="Cambria Math" panose="02040503050406030204" pitchFamily="18" charset="0"/>
                        </a:rPr>
                        <m:t>+</m:t>
                      </m:r>
                      <m:nary>
                        <m:nary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207</m:t>
                          </m:r>
                        </m:sub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260</m:t>
                          </m:r>
                        </m:sup>
                        <m:e>
                          <m:f>
                            <m:f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190</m:t>
                              </m:r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𝑑𝑥</m:t>
                              </m:r>
                            </m:num>
                            <m:den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(260−120)</m:t>
                              </m:r>
                            </m:den>
                          </m:f>
                        </m:e>
                      </m:nary>
                    </m:e>
                  </m:nary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B94EE130-5ECF-4545-9A77-29BD6C1379C0}"/>
                </a:ext>
              </a:extLst>
            </xdr:cNvPr>
            <xdr:cNvSpPr txBox="1"/>
          </xdr:nvSpPr>
          <xdr:spPr>
            <a:xfrm>
              <a:off x="11197331" y="14989907"/>
              <a:ext cx="1842749" cy="2655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120^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207▒〖</a:t>
              </a:r>
              <a:r>
                <a:rPr lang="en-US" sz="1100" b="0" i="0">
                  <a:latin typeface="Cambria Math" panose="02040503050406030204" pitchFamily="18" charset="0"/>
                </a:rPr>
                <a:t>𝑥𝑑𝑥/((260−120))+∫24_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207^</a:t>
              </a:r>
              <a:r>
                <a:rPr lang="en-US" sz="1100" b="0" i="0">
                  <a:latin typeface="Cambria Math" panose="02040503050406030204" pitchFamily="18" charset="0"/>
                </a:rPr>
                <a:t>260▒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190</a:t>
              </a:r>
              <a:r>
                <a:rPr lang="en-US" sz="1100" b="0" i="0">
                  <a:latin typeface="Cambria Math" panose="02040503050406030204" pitchFamily="18" charset="0"/>
                </a:rPr>
                <a:t>𝑑𝑥/((260−120))〗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661137</xdr:colOff>
      <xdr:row>59</xdr:row>
      <xdr:rowOff>38780</xdr:rowOff>
    </xdr:from>
    <xdr:ext cx="1805366" cy="2857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1611A6EE-E27C-DD4C-8EDC-592ECC577E40}"/>
                </a:ext>
              </a:extLst>
            </xdr:cNvPr>
            <xdr:cNvSpPr txBox="1"/>
          </xdr:nvSpPr>
          <xdr:spPr>
            <a:xfrm>
              <a:off x="13196328" y="14968551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14:m>
                <m:oMath xmlns:m="http://schemas.openxmlformats.org/officeDocument/2006/math"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  <m:t>207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sSup>
                            <m:sSupPr>
                              <m:ctrlPr>
                                <a:rPr lang="en-US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120</m:t>
                              </m:r>
                            </m:e>
                            <m:sup>
                              <m:r>
                                <a:rPr lang="en-US" sz="11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</m:sup>
                          </m:sSup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2∗(140)</m:t>
                          </m:r>
                        </m:den>
                      </m:f>
                    </m:e>
                  </m:d>
                  <m:r>
                    <a:rPr lang="en-US" sz="11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begChr m:val="["/>
                      <m:endChr m:val="]"/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n-US" sz="11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(260−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207</m:t>
                          </m:r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)∗</m:t>
                          </m:r>
                          <m:r>
                            <a:rPr lang="en-US" sz="1100" b="0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207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(140)</m:t>
                          </m:r>
                        </m:den>
                      </m:f>
                    </m:e>
                  </m:d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1611A6EE-E27C-DD4C-8EDC-592ECC577E40}"/>
                </a:ext>
              </a:extLst>
            </xdr:cNvPr>
            <xdr:cNvSpPr txBox="1"/>
          </xdr:nvSpPr>
          <xdr:spPr>
            <a:xfrm>
              <a:off x="13196328" y="14968551"/>
              <a:ext cx="1805366" cy="285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/>
                <a:t>=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207^</a:t>
              </a:r>
              <a:r>
                <a:rPr lang="en-US" sz="1100" b="0" i="0">
                  <a:latin typeface="Cambria Math" panose="02040503050406030204" pitchFamily="18" charset="0"/>
                </a:rPr>
                <a:t>2−120^2)/(2∗(140))]+</a:t>
              </a:r>
              <a:r>
                <a:rPr lang="en-US" sz="1100" i="0">
                  <a:latin typeface="Cambria Math" panose="02040503050406030204" pitchFamily="18" charset="0"/>
                </a:rPr>
                <a:t>[(</a:t>
              </a:r>
              <a:r>
                <a:rPr lang="en-US" sz="1100" b="0" i="0">
                  <a:latin typeface="Cambria Math" panose="02040503050406030204" pitchFamily="18" charset="0"/>
                </a:rPr>
                <a:t>(260−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207</a:t>
              </a:r>
              <a:r>
                <a:rPr lang="en-US" sz="1100" b="0" i="0">
                  <a:latin typeface="Cambria Math" panose="02040503050406030204" pitchFamily="18" charset="0"/>
                </a:rPr>
                <a:t>)∗</a:t>
              </a:r>
              <a:r>
                <a:rPr lang="en-US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207)/(</a:t>
              </a:r>
              <a:r>
                <a:rPr lang="en-US" sz="1100" b="0" i="0">
                  <a:latin typeface="Cambria Math" panose="02040503050406030204" pitchFamily="18" charset="0"/>
                </a:rPr>
                <a:t>(140))]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9E45-BA9F-5846-A497-766DC3AE94ED}">
  <dimension ref="A2:K47"/>
  <sheetViews>
    <sheetView zoomScale="87" zoomScaleNormal="87" workbookViewId="0">
      <selection activeCell="R31" sqref="R31"/>
    </sheetView>
  </sheetViews>
  <sheetFormatPr defaultColWidth="10.875" defaultRowHeight="18"/>
  <cols>
    <col min="1" max="1" width="10.875" style="4"/>
    <col min="2" max="2" width="16" style="4" customWidth="1"/>
    <col min="3" max="3" width="12.375" style="4" bestFit="1" customWidth="1"/>
    <col min="4" max="4" width="11.125" style="4" bestFit="1" customWidth="1"/>
    <col min="5" max="5" width="11" style="4" bestFit="1" customWidth="1"/>
    <col min="6" max="8" width="10.875" style="4"/>
    <col min="9" max="9" width="12.5" style="4" customWidth="1"/>
    <col min="10" max="10" width="11.875" style="4" bestFit="1" customWidth="1"/>
    <col min="11" max="1999" width="10.875" style="4"/>
    <col min="2000" max="2000" width="2.875" style="4" customWidth="1"/>
    <col min="2001" max="16384" width="10.875" style="4"/>
  </cols>
  <sheetData>
    <row r="2" spans="1:5">
      <c r="B2" s="4" t="s">
        <v>0</v>
      </c>
    </row>
    <row r="3" spans="1:5">
      <c r="C3" s="8" t="s">
        <v>184</v>
      </c>
      <c r="D3" s="9">
        <v>120</v>
      </c>
      <c r="E3" s="9">
        <v>420</v>
      </c>
    </row>
    <row r="4" spans="1:5">
      <c r="C4" s="8" t="s">
        <v>2</v>
      </c>
      <c r="D4" s="9">
        <f>AVERAGE(D3:E3)</f>
        <v>270</v>
      </c>
      <c r="E4" s="9"/>
    </row>
    <row r="5" spans="1:5">
      <c r="C5" s="8"/>
      <c r="D5" s="9"/>
      <c r="E5" s="9"/>
    </row>
    <row r="6" spans="1:5">
      <c r="C6" s="8" t="s">
        <v>3</v>
      </c>
      <c r="D6" s="10">
        <v>3</v>
      </c>
      <c r="E6" s="9"/>
    </row>
    <row r="7" spans="1:5">
      <c r="C7" s="8" t="s">
        <v>4</v>
      </c>
      <c r="D7" s="9" t="s">
        <v>5</v>
      </c>
      <c r="E7" s="9"/>
    </row>
    <row r="8" spans="1:5">
      <c r="C8" s="8" t="s">
        <v>6</v>
      </c>
      <c r="D8" s="9">
        <v>0.5</v>
      </c>
      <c r="E8" s="9" t="s">
        <v>7</v>
      </c>
    </row>
    <row r="9" spans="1:5">
      <c r="C9" s="8" t="s">
        <v>8</v>
      </c>
      <c r="D9" s="11">
        <v>0.5</v>
      </c>
      <c r="E9" s="9" t="s">
        <v>9</v>
      </c>
    </row>
    <row r="10" spans="1:5">
      <c r="C10" s="8" t="s">
        <v>10</v>
      </c>
      <c r="D10" s="10">
        <v>20</v>
      </c>
      <c r="E10" s="9" t="s">
        <v>11</v>
      </c>
    </row>
    <row r="11" spans="1:5">
      <c r="C11" s="8" t="s">
        <v>12</v>
      </c>
      <c r="D11" s="10">
        <v>40000</v>
      </c>
    </row>
    <row r="12" spans="1:5">
      <c r="A12" s="7">
        <v>1</v>
      </c>
      <c r="C12" s="4" t="s">
        <v>185</v>
      </c>
    </row>
    <row r="13" spans="1:5">
      <c r="C13" s="4" t="s">
        <v>186</v>
      </c>
    </row>
    <row r="14" spans="1:5">
      <c r="C14" s="4" t="s">
        <v>187</v>
      </c>
    </row>
    <row r="15" spans="1:5">
      <c r="C15" s="4" t="s">
        <v>188</v>
      </c>
    </row>
    <row r="16" spans="1:5">
      <c r="C16" s="4" t="s">
        <v>189</v>
      </c>
    </row>
    <row r="18" spans="1:11">
      <c r="A18" s="7">
        <v>2</v>
      </c>
      <c r="C18" s="4" t="s">
        <v>190</v>
      </c>
    </row>
    <row r="19" spans="1:11">
      <c r="B19" s="8" t="s">
        <v>14</v>
      </c>
      <c r="C19" s="4" t="s">
        <v>15</v>
      </c>
      <c r="D19" s="4">
        <f>3-0.5*3+0.5</f>
        <v>2</v>
      </c>
    </row>
    <row r="20" spans="1:11">
      <c r="B20" s="8" t="s">
        <v>16</v>
      </c>
      <c r="C20" s="6" t="s">
        <v>17</v>
      </c>
      <c r="D20" s="4">
        <f>5-3</f>
        <v>2</v>
      </c>
    </row>
    <row r="21" spans="1:11">
      <c r="B21" s="8" t="s">
        <v>18</v>
      </c>
      <c r="C21" s="4" t="s">
        <v>19</v>
      </c>
      <c r="D21" s="12">
        <f>D20/(D20+D19)</f>
        <v>0.5</v>
      </c>
    </row>
    <row r="23" spans="1:11" ht="21">
      <c r="B23" s="4" t="s">
        <v>49</v>
      </c>
      <c r="C23" s="24">
        <f>D21*($E$3-$D$3)+$D$3</f>
        <v>270</v>
      </c>
      <c r="D23" s="4" t="s">
        <v>89</v>
      </c>
      <c r="K23" s="4">
        <f>(270^2-120^2)/(2*300)+((420-270)*270)/300</f>
        <v>232.5</v>
      </c>
    </row>
    <row r="24" spans="1:11">
      <c r="C24" s="24"/>
      <c r="D24" s="4" t="s">
        <v>90</v>
      </c>
      <c r="F24" s="4">
        <f>C23-K23</f>
        <v>37.5</v>
      </c>
      <c r="G24" s="4" t="s">
        <v>191</v>
      </c>
      <c r="H24" s="4" t="s">
        <v>91</v>
      </c>
      <c r="J24" s="4">
        <f>$K23*5</f>
        <v>1162.5</v>
      </c>
    </row>
    <row r="25" spans="1:11">
      <c r="G25" s="4" t="s">
        <v>192</v>
      </c>
      <c r="H25" s="4" t="s">
        <v>92</v>
      </c>
      <c r="K25" s="5">
        <f>F24*$D$6*$D$8</f>
        <v>56.25</v>
      </c>
    </row>
    <row r="26" spans="1:11">
      <c r="G26" s="4" t="s">
        <v>193</v>
      </c>
      <c r="H26" s="4" t="s">
        <v>93</v>
      </c>
      <c r="J26" s="5">
        <f>F24*$D$9*-1</f>
        <v>-18.75</v>
      </c>
    </row>
    <row r="27" spans="1:11">
      <c r="G27" s="4" t="s">
        <v>194</v>
      </c>
      <c r="H27" s="4" t="s">
        <v>94</v>
      </c>
      <c r="J27" s="44">
        <f>$D$10*-1</f>
        <v>-20</v>
      </c>
    </row>
    <row r="28" spans="1:11">
      <c r="G28" s="4" t="s">
        <v>195</v>
      </c>
      <c r="H28" s="4" t="s">
        <v>96</v>
      </c>
      <c r="J28" s="44">
        <f>C23*D6*-1</f>
        <v>-810</v>
      </c>
    </row>
    <row r="29" spans="1:11">
      <c r="I29" s="8" t="s">
        <v>95</v>
      </c>
      <c r="J29" s="4" t="s">
        <v>196</v>
      </c>
    </row>
    <row r="30" spans="1:11">
      <c r="I30" s="64" t="s">
        <v>141</v>
      </c>
      <c r="J30" s="14">
        <f>J27+J26+K25+J24+J28</f>
        <v>370</v>
      </c>
    </row>
    <row r="32" spans="1:11">
      <c r="B32" s="65" t="s">
        <v>197</v>
      </c>
    </row>
    <row r="35" spans="2:11">
      <c r="B35" s="4" t="s">
        <v>20</v>
      </c>
    </row>
    <row r="36" spans="2:11">
      <c r="B36" s="8" t="s">
        <v>14</v>
      </c>
      <c r="C36" s="4" t="s">
        <v>15</v>
      </c>
      <c r="D36" s="4">
        <f>3-0.5*3+0.5</f>
        <v>2</v>
      </c>
    </row>
    <row r="37" spans="2:11">
      <c r="B37" s="8" t="s">
        <v>16</v>
      </c>
      <c r="C37" s="6" t="s">
        <v>21</v>
      </c>
      <c r="D37" s="4">
        <f>6-3</f>
        <v>3</v>
      </c>
    </row>
    <row r="38" spans="2:11">
      <c r="B38" s="8" t="s">
        <v>18</v>
      </c>
      <c r="C38" s="4" t="s">
        <v>19</v>
      </c>
      <c r="D38" s="12">
        <f>D37/(D37+D36)</f>
        <v>0.6</v>
      </c>
    </row>
    <row r="40" spans="2:11" ht="21">
      <c r="B40" s="4" t="s">
        <v>50</v>
      </c>
      <c r="C40" s="24">
        <f>D38*($E$3-$D$3)+$D$3</f>
        <v>300</v>
      </c>
      <c r="D40" s="4" t="s">
        <v>89</v>
      </c>
      <c r="K40" s="4">
        <f>(300^2-120^2)/(2*300)+((420-300)*300)/300</f>
        <v>246</v>
      </c>
    </row>
    <row r="41" spans="2:11">
      <c r="D41" s="4" t="s">
        <v>90</v>
      </c>
      <c r="F41" s="4">
        <f>C40-K40</f>
        <v>54</v>
      </c>
      <c r="G41" s="4" t="s">
        <v>191</v>
      </c>
      <c r="H41" s="4" t="s">
        <v>91</v>
      </c>
      <c r="J41" s="4">
        <f>$K40*6</f>
        <v>1476</v>
      </c>
    </row>
    <row r="42" spans="2:11">
      <c r="G42" s="4" t="s">
        <v>192</v>
      </c>
      <c r="H42" s="4" t="s">
        <v>92</v>
      </c>
      <c r="K42" s="5">
        <f>F41*$D$6*$D$8</f>
        <v>81</v>
      </c>
    </row>
    <row r="43" spans="2:11">
      <c r="G43" s="4" t="s">
        <v>193</v>
      </c>
      <c r="H43" s="4" t="s">
        <v>93</v>
      </c>
      <c r="J43" s="5">
        <f>F41*$D$9*-1</f>
        <v>-27</v>
      </c>
    </row>
    <row r="44" spans="2:11">
      <c r="G44" s="4" t="s">
        <v>194</v>
      </c>
      <c r="H44" s="4" t="s">
        <v>94</v>
      </c>
      <c r="J44" s="44">
        <f>$D$10*-1</f>
        <v>-20</v>
      </c>
    </row>
    <row r="45" spans="2:11">
      <c r="G45" s="4" t="s">
        <v>195</v>
      </c>
      <c r="H45" s="4" t="s">
        <v>96</v>
      </c>
      <c r="J45" s="44">
        <f>C40*D6*-1</f>
        <v>-900</v>
      </c>
    </row>
    <row r="46" spans="2:11">
      <c r="I46" s="8" t="s">
        <v>95</v>
      </c>
      <c r="J46" s="4" t="s">
        <v>196</v>
      </c>
    </row>
    <row r="47" spans="2:11">
      <c r="I47" s="64" t="s">
        <v>141</v>
      </c>
      <c r="J47" s="14">
        <f>J44+J43+K42+J41+J45</f>
        <v>610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34C94-0199-554B-B48E-1BAF899037E1}">
  <dimension ref="B2:F25"/>
  <sheetViews>
    <sheetView zoomScale="139" workbookViewId="0">
      <selection activeCell="D19" sqref="D19"/>
    </sheetView>
  </sheetViews>
  <sheetFormatPr defaultColWidth="10.875" defaultRowHeight="18"/>
  <cols>
    <col min="1" max="1" width="10.875" style="4"/>
    <col min="2" max="2" width="16" style="4" customWidth="1"/>
    <col min="3" max="3" width="12.375" style="4" bestFit="1" customWidth="1"/>
    <col min="4" max="4" width="11.125" style="4" bestFit="1" customWidth="1"/>
    <col min="5" max="5" width="18" style="4" customWidth="1"/>
    <col min="6" max="16384" width="10.875" style="4"/>
  </cols>
  <sheetData>
    <row r="2" spans="2:6">
      <c r="B2" s="4" t="s">
        <v>0</v>
      </c>
    </row>
    <row r="3" spans="2:6">
      <c r="C3" s="8" t="s">
        <v>1</v>
      </c>
      <c r="D3" s="9">
        <v>120</v>
      </c>
      <c r="E3" s="9">
        <v>420</v>
      </c>
    </row>
    <row r="4" spans="2:6">
      <c r="C4" s="8" t="s">
        <v>2</v>
      </c>
      <c r="D4" s="9">
        <f>AVERAGE(D3:E3)</f>
        <v>270</v>
      </c>
      <c r="E4" s="9"/>
    </row>
    <row r="5" spans="2:6">
      <c r="C5" s="8"/>
      <c r="D5" s="9"/>
      <c r="E5" s="9"/>
    </row>
    <row r="6" spans="2:6">
      <c r="C6" s="8" t="s">
        <v>3</v>
      </c>
      <c r="D6" s="10">
        <v>3</v>
      </c>
      <c r="E6" s="9"/>
    </row>
    <row r="7" spans="2:6">
      <c r="C7" s="8" t="s">
        <v>4</v>
      </c>
      <c r="D7" s="9" t="s">
        <v>5</v>
      </c>
      <c r="E7" s="9"/>
    </row>
    <row r="8" spans="2:6">
      <c r="C8" s="8" t="s">
        <v>6</v>
      </c>
      <c r="D8" s="9">
        <v>0.5</v>
      </c>
      <c r="E8" s="9" t="s">
        <v>7</v>
      </c>
    </row>
    <row r="9" spans="2:6">
      <c r="C9" s="8" t="s">
        <v>8</v>
      </c>
      <c r="D9" s="11">
        <v>0.5</v>
      </c>
      <c r="E9" s="9" t="s">
        <v>9</v>
      </c>
    </row>
    <row r="10" spans="2:6">
      <c r="C10" s="8" t="s">
        <v>10</v>
      </c>
      <c r="D10" s="10">
        <v>20</v>
      </c>
      <c r="E10" s="9" t="s">
        <v>11</v>
      </c>
    </row>
    <row r="11" spans="2:6">
      <c r="C11" s="8" t="s">
        <v>12</v>
      </c>
      <c r="D11" s="10">
        <v>40000</v>
      </c>
    </row>
    <row r="14" spans="2:6">
      <c r="B14" s="4" t="s">
        <v>13</v>
      </c>
      <c r="D14" s="4" t="s">
        <v>23</v>
      </c>
      <c r="F14" s="4" t="s">
        <v>24</v>
      </c>
    </row>
    <row r="15" spans="2:6" ht="18.75">
      <c r="B15" s="8" t="s">
        <v>14</v>
      </c>
      <c r="C15" s="4" t="s">
        <v>25</v>
      </c>
      <c r="D15" s="4">
        <f>3-0.25*3+0.5</f>
        <v>2.75</v>
      </c>
      <c r="E15" s="13" t="s">
        <v>26</v>
      </c>
      <c r="F15" s="4">
        <f>3-0.75*3+0.5</f>
        <v>1.25</v>
      </c>
    </row>
    <row r="16" spans="2:6" ht="18.75">
      <c r="B16" s="8" t="s">
        <v>16</v>
      </c>
      <c r="C16" s="6" t="s">
        <v>17</v>
      </c>
      <c r="D16" s="4">
        <f>5-3</f>
        <v>2</v>
      </c>
      <c r="E16" s="13"/>
      <c r="F16" s="4">
        <f>5-3</f>
        <v>2</v>
      </c>
    </row>
    <row r="17" spans="2:6" ht="18.75">
      <c r="B17" s="8" t="s">
        <v>18</v>
      </c>
      <c r="C17" s="4" t="s">
        <v>19</v>
      </c>
      <c r="D17" s="12">
        <f>D16/(D16+D15)</f>
        <v>0.42105263157894735</v>
      </c>
      <c r="E17" s="13"/>
      <c r="F17" s="12">
        <f>F16/(F16+F15)</f>
        <v>0.61538461538461542</v>
      </c>
    </row>
    <row r="18" spans="2:6" ht="18.75">
      <c r="E18" s="13"/>
    </row>
    <row r="19" spans="2:6" ht="18.75">
      <c r="D19" s="7">
        <f>D17*($E$3-$D$3)+$D$3</f>
        <v>246.31578947368422</v>
      </c>
      <c r="E19" s="13"/>
      <c r="F19" s="7">
        <f>F17*($E$3-$D$3)+$D$3</f>
        <v>304.61538461538464</v>
      </c>
    </row>
    <row r="20" spans="2:6" ht="18.75">
      <c r="B20" s="4" t="s">
        <v>20</v>
      </c>
      <c r="E20" s="13"/>
    </row>
    <row r="21" spans="2:6" ht="18.75">
      <c r="B21" s="8" t="s">
        <v>14</v>
      </c>
      <c r="C21" s="4" t="s">
        <v>25</v>
      </c>
      <c r="D21" s="4">
        <f>3-0.25*3+0.5</f>
        <v>2.75</v>
      </c>
      <c r="E21" s="13" t="s">
        <v>26</v>
      </c>
      <c r="F21" s="4">
        <f>3-0.75*3+0.5</f>
        <v>1.25</v>
      </c>
    </row>
    <row r="22" spans="2:6">
      <c r="B22" s="8" t="s">
        <v>16</v>
      </c>
      <c r="C22" s="6" t="s">
        <v>21</v>
      </c>
      <c r="D22" s="4">
        <f>6-3</f>
        <v>3</v>
      </c>
      <c r="F22" s="4">
        <f>6-3</f>
        <v>3</v>
      </c>
    </row>
    <row r="23" spans="2:6">
      <c r="B23" s="8" t="s">
        <v>18</v>
      </c>
      <c r="C23" s="4" t="s">
        <v>19</v>
      </c>
      <c r="D23" s="12">
        <f>D22/(D22+D21)</f>
        <v>0.52173913043478259</v>
      </c>
      <c r="F23" s="12">
        <f>F22/(F22+F21)</f>
        <v>0.70588235294117652</v>
      </c>
    </row>
    <row r="25" spans="2:6" ht="21">
      <c r="B25" s="4" t="s">
        <v>51</v>
      </c>
      <c r="D25" s="7">
        <f>D23*(E3-D3)+D3</f>
        <v>276.52173913043475</v>
      </c>
      <c r="F25" s="7">
        <f>F23*($E$3-$D$3)+$D$3</f>
        <v>331.76470588235293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42DE2-0C3D-B142-A760-FC198616F582}">
  <dimension ref="A2:N36"/>
  <sheetViews>
    <sheetView zoomScale="73" zoomScaleNormal="73" workbookViewId="0">
      <selection activeCell="M18" sqref="M18"/>
    </sheetView>
  </sheetViews>
  <sheetFormatPr defaultColWidth="10.875" defaultRowHeight="18"/>
  <cols>
    <col min="1" max="1" width="16.5" style="4" customWidth="1"/>
    <col min="2" max="2" width="16" style="4" customWidth="1"/>
    <col min="3" max="3" width="12.375" style="4" bestFit="1" customWidth="1"/>
    <col min="4" max="4" width="11.125" style="4" bestFit="1" customWidth="1"/>
    <col min="5" max="5" width="18" style="4" customWidth="1"/>
    <col min="6" max="7" width="10.875" style="4"/>
    <col min="8" max="8" width="18" style="4" customWidth="1"/>
    <col min="9" max="16384" width="10.875" style="4"/>
  </cols>
  <sheetData>
    <row r="2" spans="2:12">
      <c r="B2" s="4" t="s">
        <v>0</v>
      </c>
      <c r="I2" s="4" t="s">
        <v>0</v>
      </c>
    </row>
    <row r="3" spans="2:12">
      <c r="C3" s="8" t="s">
        <v>1</v>
      </c>
      <c r="D3" s="9">
        <v>120</v>
      </c>
      <c r="E3" s="9">
        <v>420</v>
      </c>
      <c r="J3" s="8" t="s">
        <v>1</v>
      </c>
      <c r="K3" s="9">
        <v>120</v>
      </c>
      <c r="L3" s="9">
        <v>420</v>
      </c>
    </row>
    <row r="4" spans="2:12">
      <c r="C4" s="8" t="s">
        <v>2</v>
      </c>
      <c r="D4" s="9">
        <f>AVERAGE(D3:E3)</f>
        <v>270</v>
      </c>
      <c r="E4" s="9"/>
      <c r="J4" s="8" t="s">
        <v>2</v>
      </c>
      <c r="K4" s="9">
        <f>AVERAGE(K3:L3)</f>
        <v>270</v>
      </c>
      <c r="L4" s="9"/>
    </row>
    <row r="5" spans="2:12">
      <c r="C5" s="8"/>
      <c r="D5" s="9"/>
      <c r="E5" s="9"/>
      <c r="J5" s="8"/>
      <c r="K5" s="9"/>
      <c r="L5" s="9"/>
    </row>
    <row r="6" spans="2:12">
      <c r="C6" s="8" t="s">
        <v>3</v>
      </c>
      <c r="D6" s="10">
        <v>3</v>
      </c>
      <c r="E6" s="9"/>
      <c r="J6" s="8" t="s">
        <v>3</v>
      </c>
      <c r="K6" s="10">
        <v>3</v>
      </c>
      <c r="L6" s="9"/>
    </row>
    <row r="7" spans="2:12">
      <c r="C7" s="8" t="s">
        <v>4</v>
      </c>
      <c r="D7" s="9" t="s">
        <v>5</v>
      </c>
      <c r="E7" s="9"/>
      <c r="J7" s="8" t="s">
        <v>4</v>
      </c>
      <c r="K7" s="9" t="s">
        <v>5</v>
      </c>
      <c r="L7" s="9"/>
    </row>
    <row r="8" spans="2:12">
      <c r="C8" s="8" t="s">
        <v>6</v>
      </c>
      <c r="D8" s="9">
        <v>0.5</v>
      </c>
      <c r="E8" s="9" t="s">
        <v>7</v>
      </c>
      <c r="J8" s="8" t="s">
        <v>6</v>
      </c>
      <c r="K8" s="9">
        <v>0.5</v>
      </c>
      <c r="L8" s="9" t="s">
        <v>7</v>
      </c>
    </row>
    <row r="9" spans="2:12">
      <c r="C9" s="8" t="s">
        <v>8</v>
      </c>
      <c r="D9" s="11">
        <v>0.5</v>
      </c>
      <c r="E9" s="9" t="s">
        <v>9</v>
      </c>
      <c r="J9" s="8" t="s">
        <v>8</v>
      </c>
      <c r="K9" s="11">
        <v>0.5</v>
      </c>
      <c r="L9" s="9" t="s">
        <v>9</v>
      </c>
    </row>
    <row r="10" spans="2:12">
      <c r="C10" s="8" t="s">
        <v>10</v>
      </c>
      <c r="D10" s="10">
        <v>20</v>
      </c>
      <c r="E10" s="9" t="s">
        <v>11</v>
      </c>
      <c r="J10" s="8" t="s">
        <v>10</v>
      </c>
      <c r="K10" s="10">
        <v>20</v>
      </c>
      <c r="L10" s="9" t="s">
        <v>11</v>
      </c>
    </row>
    <row r="11" spans="2:12">
      <c r="C11" s="8" t="s">
        <v>12</v>
      </c>
      <c r="D11" s="10">
        <v>40000</v>
      </c>
      <c r="J11" s="8" t="s">
        <v>12</v>
      </c>
      <c r="K11" s="10">
        <v>40000</v>
      </c>
    </row>
    <row r="15" spans="2:12" ht="18.75">
      <c r="B15" s="8"/>
      <c r="E15" s="13"/>
      <c r="I15" s="8"/>
      <c r="L15" s="13"/>
    </row>
    <row r="16" spans="2:12" ht="18.75">
      <c r="B16" s="8"/>
      <c r="C16" s="6"/>
      <c r="E16" s="13"/>
      <c r="I16" s="8"/>
      <c r="J16" s="6"/>
      <c r="L16" s="13"/>
    </row>
    <row r="17" spans="2:14" ht="18.75">
      <c r="B17" s="8"/>
      <c r="D17" s="12"/>
      <c r="E17" s="13"/>
      <c r="F17" s="12"/>
      <c r="I17" s="8"/>
      <c r="K17" s="12"/>
      <c r="L17" s="13"/>
    </row>
    <row r="18" spans="2:14" ht="18.75">
      <c r="E18" s="13"/>
      <c r="L18" s="13"/>
    </row>
    <row r="19" spans="2:14" ht="18.75">
      <c r="E19" s="13"/>
      <c r="L19" s="13"/>
    </row>
    <row r="20" spans="2:14" ht="18.75">
      <c r="B20" s="4" t="s">
        <v>20</v>
      </c>
      <c r="D20" s="4" t="s">
        <v>27</v>
      </c>
      <c r="E20" s="13"/>
      <c r="I20" s="4" t="s">
        <v>13</v>
      </c>
      <c r="K20" s="4" t="s">
        <v>27</v>
      </c>
      <c r="L20" s="13"/>
    </row>
    <row r="21" spans="2:14" ht="18.75">
      <c r="B21" s="8" t="s">
        <v>14</v>
      </c>
      <c r="C21" s="4" t="s">
        <v>15</v>
      </c>
      <c r="D21" s="4">
        <f>3-0.5*3+0.5</f>
        <v>2</v>
      </c>
      <c r="E21" s="13"/>
      <c r="I21" s="8" t="s">
        <v>14</v>
      </c>
      <c r="J21" s="4" t="s">
        <v>15</v>
      </c>
      <c r="K21" s="4">
        <f>3-0.5*3+0.5</f>
        <v>2</v>
      </c>
      <c r="L21" s="13"/>
    </row>
    <row r="22" spans="2:14">
      <c r="B22" s="8" t="s">
        <v>16</v>
      </c>
      <c r="C22" s="6" t="s">
        <v>21</v>
      </c>
      <c r="D22" s="4">
        <f>6-3</f>
        <v>3</v>
      </c>
      <c r="I22" s="8" t="s">
        <v>16</v>
      </c>
      <c r="J22" s="6" t="s">
        <v>17</v>
      </c>
      <c r="K22" s="4">
        <f>5-3</f>
        <v>2</v>
      </c>
    </row>
    <row r="23" spans="2:14">
      <c r="B23" s="8" t="s">
        <v>18</v>
      </c>
      <c r="C23" s="4" t="s">
        <v>19</v>
      </c>
      <c r="D23" s="12">
        <f>D22/(D22+D21)</f>
        <v>0.6</v>
      </c>
      <c r="F23" s="12"/>
      <c r="I23" s="8" t="s">
        <v>18</v>
      </c>
      <c r="J23" s="4" t="s">
        <v>19</v>
      </c>
      <c r="K23" s="12">
        <f>K22/(K22+K21)</f>
        <v>0.5</v>
      </c>
    </row>
    <row r="25" spans="2:14">
      <c r="B25" s="4" t="s">
        <v>22</v>
      </c>
      <c r="D25" s="7">
        <f>D23*(E3-D3)+D3</f>
        <v>300</v>
      </c>
      <c r="F25" s="7"/>
      <c r="I25" s="4" t="s">
        <v>22</v>
      </c>
      <c r="K25" s="7">
        <f>K23*(L3-K3)+K3</f>
        <v>270</v>
      </c>
    </row>
    <row r="26" spans="2:14">
      <c r="B26" s="8" t="s">
        <v>89</v>
      </c>
      <c r="G26" s="4">
        <f>(300^2-120^2)/(2*300)+((420-300)*300)/300</f>
        <v>246</v>
      </c>
      <c r="I26" s="8" t="s">
        <v>89</v>
      </c>
      <c r="N26" s="4">
        <f>(270^2-120^2)/(2*300)+((420-270)*270)/300</f>
        <v>232.5</v>
      </c>
    </row>
    <row r="27" spans="2:14">
      <c r="B27" s="8" t="s">
        <v>90</v>
      </c>
      <c r="C27" s="4">
        <f>D25-G26</f>
        <v>54</v>
      </c>
      <c r="D27" s="4" t="s">
        <v>191</v>
      </c>
      <c r="E27" s="4" t="s">
        <v>91</v>
      </c>
      <c r="G27" s="4">
        <f>$G26*6</f>
        <v>1476</v>
      </c>
      <c r="I27" s="8" t="s">
        <v>90</v>
      </c>
      <c r="J27" s="4">
        <f>K25-N26</f>
        <v>37.5</v>
      </c>
      <c r="K27" s="4" t="s">
        <v>191</v>
      </c>
      <c r="L27" s="4" t="s">
        <v>91</v>
      </c>
      <c r="N27" s="4">
        <f>$N26*5</f>
        <v>1162.5</v>
      </c>
    </row>
    <row r="28" spans="2:14">
      <c r="D28" s="4" t="s">
        <v>192</v>
      </c>
      <c r="E28" s="4" t="s">
        <v>92</v>
      </c>
      <c r="G28" s="5">
        <f>C27*$D$6*$D$8</f>
        <v>81</v>
      </c>
      <c r="K28" s="4" t="s">
        <v>192</v>
      </c>
      <c r="L28" s="4" t="s">
        <v>92</v>
      </c>
      <c r="N28" s="5">
        <f>J27*$D$6*$D$8</f>
        <v>56.25</v>
      </c>
    </row>
    <row r="29" spans="2:14">
      <c r="D29" s="4" t="s">
        <v>193</v>
      </c>
      <c r="E29" s="4" t="s">
        <v>93</v>
      </c>
      <c r="G29" s="5">
        <f>C27*$D$9*-1</f>
        <v>-27</v>
      </c>
      <c r="K29" s="4" t="s">
        <v>193</v>
      </c>
      <c r="L29" s="4" t="s">
        <v>93</v>
      </c>
      <c r="N29" s="5">
        <f>J27*$D$9*-1</f>
        <v>-18.75</v>
      </c>
    </row>
    <row r="30" spans="2:14">
      <c r="D30" s="4" t="s">
        <v>194</v>
      </c>
      <c r="E30" s="4" t="s">
        <v>94</v>
      </c>
      <c r="G30" s="44">
        <f>$D$10*-1</f>
        <v>-20</v>
      </c>
      <c r="K30" s="4" t="s">
        <v>194</v>
      </c>
      <c r="L30" s="4" t="s">
        <v>94</v>
      </c>
      <c r="N30" s="44">
        <f>$D$10*-1</f>
        <v>-20</v>
      </c>
    </row>
    <row r="31" spans="2:14">
      <c r="D31" s="4" t="s">
        <v>195</v>
      </c>
      <c r="E31" s="4" t="s">
        <v>96</v>
      </c>
      <c r="G31" s="44">
        <f>-1*D25*D6</f>
        <v>-900</v>
      </c>
      <c r="K31" s="4" t="s">
        <v>195</v>
      </c>
      <c r="L31" s="4" t="s">
        <v>96</v>
      </c>
      <c r="N31" s="44">
        <f>-1*K25*K6</f>
        <v>-810</v>
      </c>
    </row>
    <row r="32" spans="2:14">
      <c r="F32" s="8" t="s">
        <v>95</v>
      </c>
      <c r="G32" s="4" t="s">
        <v>196</v>
      </c>
      <c r="M32" s="8" t="s">
        <v>95</v>
      </c>
      <c r="N32" s="4" t="s">
        <v>196</v>
      </c>
    </row>
    <row r="33" spans="1:14">
      <c r="F33" s="64" t="s">
        <v>141</v>
      </c>
      <c r="G33" s="14">
        <f>G30+G29+G28+G27+G31</f>
        <v>610</v>
      </c>
      <c r="M33" s="64" t="s">
        <v>141</v>
      </c>
      <c r="N33" s="14">
        <f>N30+N29+N28+N27+N31</f>
        <v>370</v>
      </c>
    </row>
    <row r="34" spans="1:14">
      <c r="J34" s="14"/>
    </row>
    <row r="36" spans="1:14">
      <c r="A36" s="65" t="s">
        <v>198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3F3A-ECC8-1A42-A893-DCA273BB4BB2}">
  <dimension ref="B2:S543"/>
  <sheetViews>
    <sheetView tabSelected="1" topLeftCell="A16" zoomScale="73" zoomScaleNormal="73" workbookViewId="0">
      <selection activeCell="B18" sqref="B18:H36"/>
    </sheetView>
  </sheetViews>
  <sheetFormatPr defaultColWidth="10.875" defaultRowHeight="18"/>
  <cols>
    <col min="1" max="1" width="10.875" style="4"/>
    <col min="2" max="3" width="22.375" style="4" customWidth="1"/>
    <col min="4" max="8" width="10.875" style="4"/>
    <col min="9" max="10" width="10.875" style="15"/>
    <col min="11" max="11" width="14.875" style="15" customWidth="1"/>
    <col min="12" max="12" width="15.625" style="15" bestFit="1" customWidth="1"/>
    <col min="13" max="13" width="12" style="15" bestFit="1" customWidth="1"/>
    <col min="14" max="14" width="11.125" style="15" bestFit="1" customWidth="1"/>
    <col min="15" max="15" width="10.875" style="15"/>
    <col min="16" max="16" width="14.625" style="15" bestFit="1" customWidth="1"/>
    <col min="17" max="17" width="13.125" style="15" customWidth="1"/>
    <col min="18" max="18" width="11.625" style="15" customWidth="1"/>
    <col min="19" max="19" width="14" style="15" bestFit="1" customWidth="1"/>
    <col min="20" max="16384" width="10.875" style="4"/>
  </cols>
  <sheetData>
    <row r="2" spans="2:19">
      <c r="B2" s="4" t="s">
        <v>0</v>
      </c>
    </row>
    <row r="3" spans="2:19">
      <c r="C3" s="8" t="s">
        <v>1</v>
      </c>
      <c r="D3" s="9">
        <v>120</v>
      </c>
      <c r="E3" s="9">
        <v>420</v>
      </c>
    </row>
    <row r="4" spans="2:19">
      <c r="C4" s="8" t="s">
        <v>2</v>
      </c>
      <c r="D4" s="9">
        <f>AVERAGE(D3:E3)</f>
        <v>270</v>
      </c>
      <c r="E4" s="9"/>
      <c r="I4" s="21" t="s">
        <v>37</v>
      </c>
      <c r="J4" s="21" t="s">
        <v>36</v>
      </c>
      <c r="K4" s="21" t="s">
        <v>28</v>
      </c>
      <c r="L4" s="21" t="s">
        <v>29</v>
      </c>
      <c r="M4" s="21" t="s">
        <v>30</v>
      </c>
      <c r="N4" s="21" t="s">
        <v>31</v>
      </c>
      <c r="O4" s="21" t="s">
        <v>32</v>
      </c>
      <c r="P4" s="21" t="s">
        <v>33</v>
      </c>
      <c r="Q4" s="21" t="s">
        <v>34</v>
      </c>
      <c r="R4" s="21" t="s">
        <v>35</v>
      </c>
      <c r="S4" s="21" t="s">
        <v>40</v>
      </c>
    </row>
    <row r="5" spans="2:19">
      <c r="C5" s="8"/>
      <c r="D5" s="9"/>
      <c r="E5" s="9"/>
      <c r="I5" s="15">
        <v>1</v>
      </c>
      <c r="J5" s="16">
        <f ca="1">RAND()*($E$3-$D$3)+$D$3</f>
        <v>280.42643543126746</v>
      </c>
      <c r="K5" s="16">
        <f ca="1">IF(J5&gt;=$D$18,$D$18,$D$18-J5)</f>
        <v>270</v>
      </c>
      <c r="L5" s="16">
        <f ca="1">$D$18-K5</f>
        <v>0</v>
      </c>
      <c r="M5" s="17">
        <f ca="1">K5*5</f>
        <v>1350</v>
      </c>
      <c r="N5" s="17">
        <f>$D$10</f>
        <v>20</v>
      </c>
      <c r="O5" s="17">
        <f>-$D$6*$D$18</f>
        <v>-810</v>
      </c>
      <c r="P5" s="18">
        <f ca="1">-L5*$D$9</f>
        <v>0</v>
      </c>
      <c r="Q5" s="18">
        <f ca="1">L5*($D$6*$D$8)</f>
        <v>0</v>
      </c>
      <c r="R5" s="19">
        <f ca="1">SUM(M5:Q5)</f>
        <v>560</v>
      </c>
      <c r="S5" s="15">
        <f ca="1">IF(R5&lt;0,1,0)</f>
        <v>0</v>
      </c>
    </row>
    <row r="6" spans="2:19">
      <c r="C6" s="8" t="s">
        <v>3</v>
      </c>
      <c r="D6" s="10">
        <v>3</v>
      </c>
      <c r="E6" s="9"/>
      <c r="I6" s="15">
        <f>I5+1</f>
        <v>2</v>
      </c>
      <c r="J6" s="16">
        <f ca="1">RAND()*($E$3-$D$3)+$D$3</f>
        <v>151.08885449691286</v>
      </c>
      <c r="K6" s="16">
        <f t="shared" ref="K6:K69" ca="1" si="0">IF(J6&gt;=$D$18,$D$18,$D$18-J6)</f>
        <v>118.91114550308714</v>
      </c>
      <c r="L6" s="16">
        <f t="shared" ref="L6:L69" ca="1" si="1">$D$18-K6</f>
        <v>151.08885449691286</v>
      </c>
      <c r="M6" s="17">
        <f t="shared" ref="M6:M69" ca="1" si="2">K6*5</f>
        <v>594.55572751543571</v>
      </c>
      <c r="N6" s="17">
        <f t="shared" ref="N6:N69" si="3">$D$10</f>
        <v>20</v>
      </c>
      <c r="O6" s="17">
        <f t="shared" ref="O6:O69" si="4">-$D$6*$D$18</f>
        <v>-810</v>
      </c>
      <c r="P6" s="18">
        <f t="shared" ref="P6:P69" ca="1" si="5">-L6*$D$9</f>
        <v>-75.544427248456429</v>
      </c>
      <c r="Q6" s="18">
        <f t="shared" ref="Q6:Q69" ca="1" si="6">L6*($D$6*$D$8)</f>
        <v>226.63328174536929</v>
      </c>
      <c r="R6" s="19">
        <f t="shared" ref="R6:R69" ca="1" si="7">SUM(M6:Q6)</f>
        <v>-44.355417987651435</v>
      </c>
      <c r="S6" s="15">
        <f t="shared" ref="S6:S69" ca="1" si="8">IF(R6&lt;0,1,0)</f>
        <v>1</v>
      </c>
    </row>
    <row r="7" spans="2:19">
      <c r="C7" s="8" t="s">
        <v>4</v>
      </c>
      <c r="D7" s="9" t="s">
        <v>5</v>
      </c>
      <c r="E7" s="9"/>
      <c r="I7" s="15">
        <f t="shared" ref="I7:I70" si="9">I6+1</f>
        <v>3</v>
      </c>
      <c r="J7" s="16">
        <f t="shared" ref="J7:J70" ca="1" si="10">RAND()*($E$3-$D$3)+$D$3</f>
        <v>225.07690773286168</v>
      </c>
      <c r="K7" s="16">
        <f t="shared" ca="1" si="0"/>
        <v>44.923092267138315</v>
      </c>
      <c r="L7" s="16">
        <f t="shared" ca="1" si="1"/>
        <v>225.07690773286168</v>
      </c>
      <c r="M7" s="17">
        <f t="shared" ca="1" si="2"/>
        <v>224.61546133569158</v>
      </c>
      <c r="N7" s="17">
        <f t="shared" si="3"/>
        <v>20</v>
      </c>
      <c r="O7" s="17">
        <f t="shared" si="4"/>
        <v>-810</v>
      </c>
      <c r="P7" s="18">
        <f t="shared" ca="1" si="5"/>
        <v>-112.53845386643084</v>
      </c>
      <c r="Q7" s="18">
        <f t="shared" ca="1" si="6"/>
        <v>337.61536159929256</v>
      </c>
      <c r="R7" s="19">
        <f t="shared" ca="1" si="7"/>
        <v>-340.30763093144662</v>
      </c>
      <c r="S7" s="15">
        <f t="shared" ca="1" si="8"/>
        <v>1</v>
      </c>
    </row>
    <row r="8" spans="2:19">
      <c r="C8" s="8" t="s">
        <v>6</v>
      </c>
      <c r="D8" s="9">
        <v>0.5</v>
      </c>
      <c r="E8" s="9" t="s">
        <v>7</v>
      </c>
      <c r="I8" s="15">
        <f t="shared" si="9"/>
        <v>4</v>
      </c>
      <c r="J8" s="16">
        <f t="shared" ca="1" si="10"/>
        <v>314.19296995222993</v>
      </c>
      <c r="K8" s="16">
        <f t="shared" ca="1" si="0"/>
        <v>270</v>
      </c>
      <c r="L8" s="16">
        <f t="shared" ca="1" si="1"/>
        <v>0</v>
      </c>
      <c r="M8" s="17">
        <f t="shared" ca="1" si="2"/>
        <v>1350</v>
      </c>
      <c r="N8" s="17">
        <f t="shared" si="3"/>
        <v>20</v>
      </c>
      <c r="O8" s="17">
        <f t="shared" si="4"/>
        <v>-810</v>
      </c>
      <c r="P8" s="18">
        <f t="shared" ca="1" si="5"/>
        <v>0</v>
      </c>
      <c r="Q8" s="18">
        <f t="shared" ca="1" si="6"/>
        <v>0</v>
      </c>
      <c r="R8" s="19">
        <f t="shared" ca="1" si="7"/>
        <v>560</v>
      </c>
      <c r="S8" s="15">
        <f t="shared" ca="1" si="8"/>
        <v>0</v>
      </c>
    </row>
    <row r="9" spans="2:19">
      <c r="C9" s="8" t="s">
        <v>8</v>
      </c>
      <c r="D9" s="11">
        <v>0.5</v>
      </c>
      <c r="E9" s="9" t="s">
        <v>9</v>
      </c>
      <c r="I9" s="15">
        <f t="shared" si="9"/>
        <v>5</v>
      </c>
      <c r="J9" s="16">
        <f t="shared" ca="1" si="10"/>
        <v>294.39881593950929</v>
      </c>
      <c r="K9" s="16">
        <f t="shared" ca="1" si="0"/>
        <v>270</v>
      </c>
      <c r="L9" s="16">
        <f t="shared" ca="1" si="1"/>
        <v>0</v>
      </c>
      <c r="M9" s="17">
        <f t="shared" ca="1" si="2"/>
        <v>1350</v>
      </c>
      <c r="N9" s="17">
        <f t="shared" si="3"/>
        <v>20</v>
      </c>
      <c r="O9" s="17">
        <f t="shared" si="4"/>
        <v>-810</v>
      </c>
      <c r="P9" s="18">
        <f t="shared" ca="1" si="5"/>
        <v>0</v>
      </c>
      <c r="Q9" s="18">
        <f t="shared" ca="1" si="6"/>
        <v>0</v>
      </c>
      <c r="R9" s="19">
        <f t="shared" ca="1" si="7"/>
        <v>560</v>
      </c>
      <c r="S9" s="15">
        <f t="shared" ca="1" si="8"/>
        <v>0</v>
      </c>
    </row>
    <row r="10" spans="2:19">
      <c r="C10" s="8" t="s">
        <v>10</v>
      </c>
      <c r="D10" s="10">
        <v>20</v>
      </c>
      <c r="E10" s="9" t="s">
        <v>11</v>
      </c>
      <c r="I10" s="15">
        <f t="shared" si="9"/>
        <v>6</v>
      </c>
      <c r="J10" s="16">
        <f t="shared" ca="1" si="10"/>
        <v>243.15940095399949</v>
      </c>
      <c r="K10" s="16">
        <f t="shared" ca="1" si="0"/>
        <v>26.840599046000506</v>
      </c>
      <c r="L10" s="16">
        <f t="shared" ca="1" si="1"/>
        <v>243.15940095399949</v>
      </c>
      <c r="M10" s="17">
        <f t="shared" ca="1" si="2"/>
        <v>134.20299523000253</v>
      </c>
      <c r="N10" s="17">
        <f t="shared" si="3"/>
        <v>20</v>
      </c>
      <c r="O10" s="17">
        <f t="shared" si="4"/>
        <v>-810</v>
      </c>
      <c r="P10" s="18">
        <f t="shared" ca="1" si="5"/>
        <v>-121.57970047699975</v>
      </c>
      <c r="Q10" s="18">
        <f t="shared" ca="1" si="6"/>
        <v>364.73910143099926</v>
      </c>
      <c r="R10" s="19">
        <f t="shared" ca="1" si="7"/>
        <v>-412.63760381599792</v>
      </c>
      <c r="S10" s="15">
        <f t="shared" ca="1" si="8"/>
        <v>1</v>
      </c>
    </row>
    <row r="11" spans="2:19">
      <c r="C11" s="8" t="s">
        <v>12</v>
      </c>
      <c r="D11" s="10">
        <v>40000</v>
      </c>
      <c r="I11" s="15">
        <f t="shared" si="9"/>
        <v>7</v>
      </c>
      <c r="J11" s="16">
        <f t="shared" ca="1" si="10"/>
        <v>403.21710947672449</v>
      </c>
      <c r="K11" s="16">
        <f t="shared" ca="1" si="0"/>
        <v>270</v>
      </c>
      <c r="L11" s="16">
        <f t="shared" ca="1" si="1"/>
        <v>0</v>
      </c>
      <c r="M11" s="17">
        <f t="shared" ca="1" si="2"/>
        <v>1350</v>
      </c>
      <c r="N11" s="17">
        <f t="shared" si="3"/>
        <v>20</v>
      </c>
      <c r="O11" s="17">
        <f t="shared" si="4"/>
        <v>-810</v>
      </c>
      <c r="P11" s="18">
        <f t="shared" ca="1" si="5"/>
        <v>0</v>
      </c>
      <c r="Q11" s="18">
        <f t="shared" ca="1" si="6"/>
        <v>0</v>
      </c>
      <c r="R11" s="19">
        <f t="shared" ca="1" si="7"/>
        <v>560</v>
      </c>
      <c r="S11" s="15">
        <f t="shared" ca="1" si="8"/>
        <v>0</v>
      </c>
    </row>
    <row r="12" spans="2:19" ht="18.75">
      <c r="E12" s="13"/>
      <c r="I12" s="15">
        <f t="shared" si="9"/>
        <v>8</v>
      </c>
      <c r="J12" s="16">
        <f t="shared" ca="1" si="10"/>
        <v>252.63719252172856</v>
      </c>
      <c r="K12" s="16">
        <f t="shared" ca="1" si="0"/>
        <v>17.362807478271435</v>
      </c>
      <c r="L12" s="16">
        <f t="shared" ca="1" si="1"/>
        <v>252.63719252172856</v>
      </c>
      <c r="M12" s="17">
        <f t="shared" ca="1" si="2"/>
        <v>86.814037391357175</v>
      </c>
      <c r="N12" s="17">
        <f t="shared" si="3"/>
        <v>20</v>
      </c>
      <c r="O12" s="17">
        <f t="shared" si="4"/>
        <v>-810</v>
      </c>
      <c r="P12" s="18">
        <f t="shared" ca="1" si="5"/>
        <v>-126.31859626086428</v>
      </c>
      <c r="Q12" s="18">
        <f t="shared" ca="1" si="6"/>
        <v>378.95578878259283</v>
      </c>
      <c r="R12" s="19">
        <f t="shared" ca="1" si="7"/>
        <v>-450.54877008691432</v>
      </c>
      <c r="S12" s="15">
        <f t="shared" ca="1" si="8"/>
        <v>1</v>
      </c>
    </row>
    <row r="13" spans="2:19" ht="18.75">
      <c r="B13" s="4" t="s">
        <v>13</v>
      </c>
      <c r="D13" s="4" t="s">
        <v>27</v>
      </c>
      <c r="E13" s="13"/>
      <c r="I13" s="15">
        <f t="shared" si="9"/>
        <v>9</v>
      </c>
      <c r="J13" s="16">
        <f t="shared" ca="1" si="10"/>
        <v>227.20731455954439</v>
      </c>
      <c r="K13" s="16">
        <f t="shared" ca="1" si="0"/>
        <v>42.792685440455614</v>
      </c>
      <c r="L13" s="16">
        <f t="shared" ca="1" si="1"/>
        <v>227.20731455954439</v>
      </c>
      <c r="M13" s="17">
        <f t="shared" ca="1" si="2"/>
        <v>213.96342720227807</v>
      </c>
      <c r="N13" s="17">
        <f t="shared" si="3"/>
        <v>20</v>
      </c>
      <c r="O13" s="17">
        <f t="shared" si="4"/>
        <v>-810</v>
      </c>
      <c r="P13" s="18">
        <f t="shared" ca="1" si="5"/>
        <v>-113.60365727977219</v>
      </c>
      <c r="Q13" s="18">
        <f t="shared" ca="1" si="6"/>
        <v>340.81097183931661</v>
      </c>
      <c r="R13" s="19">
        <f t="shared" ca="1" si="7"/>
        <v>-348.82925823817743</v>
      </c>
      <c r="S13" s="15">
        <f t="shared" ca="1" si="8"/>
        <v>1</v>
      </c>
    </row>
    <row r="14" spans="2:19" ht="18.75">
      <c r="B14" s="8" t="s">
        <v>14</v>
      </c>
      <c r="C14" s="4" t="s">
        <v>15</v>
      </c>
      <c r="D14" s="4">
        <f>3-0.5*3+0.5</f>
        <v>2</v>
      </c>
      <c r="E14" s="13"/>
      <c r="I14" s="15">
        <f t="shared" si="9"/>
        <v>10</v>
      </c>
      <c r="J14" s="16">
        <f t="shared" ca="1" si="10"/>
        <v>215.36933860136634</v>
      </c>
      <c r="K14" s="16">
        <f t="shared" ca="1" si="0"/>
        <v>54.630661398633663</v>
      </c>
      <c r="L14" s="16">
        <f t="shared" ca="1" si="1"/>
        <v>215.36933860136634</v>
      </c>
      <c r="M14" s="17">
        <f t="shared" ca="1" si="2"/>
        <v>273.15330699316831</v>
      </c>
      <c r="N14" s="17">
        <f t="shared" si="3"/>
        <v>20</v>
      </c>
      <c r="O14" s="17">
        <f t="shared" si="4"/>
        <v>-810</v>
      </c>
      <c r="P14" s="18">
        <f t="shared" ca="1" si="5"/>
        <v>-107.68466930068317</v>
      </c>
      <c r="Q14" s="18">
        <f t="shared" ca="1" si="6"/>
        <v>323.05400790204953</v>
      </c>
      <c r="R14" s="19">
        <f t="shared" ca="1" si="7"/>
        <v>-301.47735440546523</v>
      </c>
      <c r="S14" s="15">
        <f t="shared" ca="1" si="8"/>
        <v>1</v>
      </c>
    </row>
    <row r="15" spans="2:19">
      <c r="B15" s="8" t="s">
        <v>16</v>
      </c>
      <c r="C15" s="6" t="s">
        <v>17</v>
      </c>
      <c r="D15" s="4">
        <f>5-3</f>
        <v>2</v>
      </c>
      <c r="I15" s="15">
        <f t="shared" si="9"/>
        <v>11</v>
      </c>
      <c r="J15" s="16">
        <f t="shared" ca="1" si="10"/>
        <v>279.66767937142106</v>
      </c>
      <c r="K15" s="16">
        <f t="shared" ca="1" si="0"/>
        <v>270</v>
      </c>
      <c r="L15" s="16">
        <f t="shared" ca="1" si="1"/>
        <v>0</v>
      </c>
      <c r="M15" s="17">
        <f t="shared" ca="1" si="2"/>
        <v>1350</v>
      </c>
      <c r="N15" s="17">
        <f t="shared" si="3"/>
        <v>20</v>
      </c>
      <c r="O15" s="17">
        <f t="shared" si="4"/>
        <v>-810</v>
      </c>
      <c r="P15" s="18">
        <f t="shared" ca="1" si="5"/>
        <v>0</v>
      </c>
      <c r="Q15" s="18">
        <f t="shared" ca="1" si="6"/>
        <v>0</v>
      </c>
      <c r="R15" s="19">
        <f t="shared" ca="1" si="7"/>
        <v>560</v>
      </c>
      <c r="S15" s="15">
        <f t="shared" ca="1" si="8"/>
        <v>0</v>
      </c>
    </row>
    <row r="16" spans="2:19">
      <c r="B16" s="8" t="s">
        <v>18</v>
      </c>
      <c r="C16" s="4" t="s">
        <v>19</v>
      </c>
      <c r="D16" s="12">
        <f>D15/(D15+D14)</f>
        <v>0.5</v>
      </c>
      <c r="I16" s="15">
        <f t="shared" si="9"/>
        <v>12</v>
      </c>
      <c r="J16" s="16">
        <f t="shared" ca="1" si="10"/>
        <v>240.06513945796246</v>
      </c>
      <c r="K16" s="16">
        <f t="shared" ca="1" si="0"/>
        <v>29.934860542037541</v>
      </c>
      <c r="L16" s="16">
        <f t="shared" ca="1" si="1"/>
        <v>240.06513945796246</v>
      </c>
      <c r="M16" s="17">
        <f t="shared" ca="1" si="2"/>
        <v>149.6743027101877</v>
      </c>
      <c r="N16" s="17">
        <f t="shared" si="3"/>
        <v>20</v>
      </c>
      <c r="O16" s="17">
        <f t="shared" si="4"/>
        <v>-810</v>
      </c>
      <c r="P16" s="18">
        <f t="shared" ca="1" si="5"/>
        <v>-120.03256972898123</v>
      </c>
      <c r="Q16" s="18">
        <f t="shared" ca="1" si="6"/>
        <v>360.09770918694369</v>
      </c>
      <c r="R16" s="19">
        <f t="shared" ca="1" si="7"/>
        <v>-400.26055783184984</v>
      </c>
      <c r="S16" s="15">
        <f t="shared" ca="1" si="8"/>
        <v>1</v>
      </c>
    </row>
    <row r="17" spans="2:19">
      <c r="I17" s="15">
        <f t="shared" si="9"/>
        <v>13</v>
      </c>
      <c r="J17" s="16">
        <f t="shared" ca="1" si="10"/>
        <v>307.22580169846253</v>
      </c>
      <c r="K17" s="16">
        <f t="shared" ca="1" si="0"/>
        <v>270</v>
      </c>
      <c r="L17" s="16">
        <f t="shared" ca="1" si="1"/>
        <v>0</v>
      </c>
      <c r="M17" s="17">
        <f t="shared" ca="1" si="2"/>
        <v>1350</v>
      </c>
      <c r="N17" s="17">
        <f t="shared" si="3"/>
        <v>20</v>
      </c>
      <c r="O17" s="17">
        <f t="shared" si="4"/>
        <v>-810</v>
      </c>
      <c r="P17" s="18">
        <f t="shared" ca="1" si="5"/>
        <v>0</v>
      </c>
      <c r="Q17" s="18">
        <f t="shared" ca="1" si="6"/>
        <v>0</v>
      </c>
      <c r="R17" s="19">
        <f t="shared" ca="1" si="7"/>
        <v>560</v>
      </c>
      <c r="S17" s="15">
        <f t="shared" ca="1" si="8"/>
        <v>0</v>
      </c>
    </row>
    <row r="18" spans="2:19">
      <c r="B18" s="4" t="s">
        <v>22</v>
      </c>
      <c r="D18" s="7">
        <f>D16*(E3-D3)+D3</f>
        <v>270</v>
      </c>
      <c r="I18" s="15">
        <f t="shared" si="9"/>
        <v>14</v>
      </c>
      <c r="J18" s="16">
        <f t="shared" ca="1" si="10"/>
        <v>294.61527483776968</v>
      </c>
      <c r="K18" s="16">
        <f t="shared" ca="1" si="0"/>
        <v>270</v>
      </c>
      <c r="L18" s="16">
        <f t="shared" ca="1" si="1"/>
        <v>0</v>
      </c>
      <c r="M18" s="17">
        <f t="shared" ca="1" si="2"/>
        <v>1350</v>
      </c>
      <c r="N18" s="17">
        <f t="shared" si="3"/>
        <v>20</v>
      </c>
      <c r="O18" s="17">
        <f t="shared" si="4"/>
        <v>-810</v>
      </c>
      <c r="P18" s="18">
        <f t="shared" ca="1" si="5"/>
        <v>0</v>
      </c>
      <c r="Q18" s="18">
        <f t="shared" ca="1" si="6"/>
        <v>0</v>
      </c>
      <c r="R18" s="19">
        <f t="shared" ca="1" si="7"/>
        <v>560</v>
      </c>
      <c r="S18" s="15">
        <f t="shared" ca="1" si="8"/>
        <v>0</v>
      </c>
    </row>
    <row r="19" spans="2:19">
      <c r="I19" s="15">
        <f t="shared" si="9"/>
        <v>15</v>
      </c>
      <c r="J19" s="16">
        <f t="shared" ca="1" si="10"/>
        <v>258.77872468571599</v>
      </c>
      <c r="K19" s="16">
        <f t="shared" ca="1" si="0"/>
        <v>11.221275314284014</v>
      </c>
      <c r="L19" s="16">
        <f t="shared" ca="1" si="1"/>
        <v>258.77872468571599</v>
      </c>
      <c r="M19" s="17">
        <f t="shared" ca="1" si="2"/>
        <v>56.106376571420071</v>
      </c>
      <c r="N19" s="17">
        <f t="shared" si="3"/>
        <v>20</v>
      </c>
      <c r="O19" s="17">
        <f t="shared" si="4"/>
        <v>-810</v>
      </c>
      <c r="P19" s="18">
        <f t="shared" ca="1" si="5"/>
        <v>-129.38936234285799</v>
      </c>
      <c r="Q19" s="18">
        <f t="shared" ca="1" si="6"/>
        <v>388.16808702857395</v>
      </c>
      <c r="R19" s="19">
        <f t="shared" ca="1" si="7"/>
        <v>-475.11489874286406</v>
      </c>
      <c r="S19" s="15">
        <f t="shared" ca="1" si="8"/>
        <v>1</v>
      </c>
    </row>
    <row r="20" spans="2:19">
      <c r="I20" s="15">
        <f t="shared" si="9"/>
        <v>16</v>
      </c>
      <c r="J20" s="16">
        <f t="shared" ca="1" si="10"/>
        <v>125.71438822382422</v>
      </c>
      <c r="K20" s="16">
        <f t="shared" ca="1" si="0"/>
        <v>144.28561177617578</v>
      </c>
      <c r="L20" s="16">
        <f t="shared" ca="1" si="1"/>
        <v>125.71438822382422</v>
      </c>
      <c r="M20" s="17">
        <f t="shared" ca="1" si="2"/>
        <v>721.42805888087889</v>
      </c>
      <c r="N20" s="17">
        <f t="shared" si="3"/>
        <v>20</v>
      </c>
      <c r="O20" s="17">
        <f t="shared" si="4"/>
        <v>-810</v>
      </c>
      <c r="P20" s="18">
        <f t="shared" ca="1" si="5"/>
        <v>-62.857194111912108</v>
      </c>
      <c r="Q20" s="18">
        <f t="shared" ca="1" si="6"/>
        <v>188.57158233573631</v>
      </c>
      <c r="R20" s="19">
        <f t="shared" ca="1" si="7"/>
        <v>57.142447104703081</v>
      </c>
      <c r="S20" s="15">
        <f t="shared" ca="1" si="8"/>
        <v>0</v>
      </c>
    </row>
    <row r="21" spans="2:19">
      <c r="B21" s="8"/>
      <c r="I21" s="15">
        <f t="shared" si="9"/>
        <v>17</v>
      </c>
      <c r="J21" s="16">
        <f t="shared" ca="1" si="10"/>
        <v>204.36986755884686</v>
      </c>
      <c r="K21" s="16">
        <f t="shared" ca="1" si="0"/>
        <v>65.630132441153137</v>
      </c>
      <c r="L21" s="16">
        <f t="shared" ca="1" si="1"/>
        <v>204.36986755884686</v>
      </c>
      <c r="M21" s="17">
        <f t="shared" ca="1" si="2"/>
        <v>328.15066220576568</v>
      </c>
      <c r="N21" s="17">
        <f t="shared" si="3"/>
        <v>20</v>
      </c>
      <c r="O21" s="17">
        <f t="shared" si="4"/>
        <v>-810</v>
      </c>
      <c r="P21" s="18">
        <f t="shared" ca="1" si="5"/>
        <v>-102.18493377942343</v>
      </c>
      <c r="Q21" s="18">
        <f t="shared" ca="1" si="6"/>
        <v>306.55480133827029</v>
      </c>
      <c r="R21" s="19">
        <f t="shared" ca="1" si="7"/>
        <v>-257.47947023538745</v>
      </c>
      <c r="S21" s="15">
        <f t="shared" ca="1" si="8"/>
        <v>1</v>
      </c>
    </row>
    <row r="22" spans="2:19">
      <c r="B22" s="8"/>
      <c r="I22" s="15">
        <f t="shared" si="9"/>
        <v>18</v>
      </c>
      <c r="J22" s="16">
        <f t="shared" ca="1" si="10"/>
        <v>239.9209172099475</v>
      </c>
      <c r="K22" s="16">
        <f t="shared" ca="1" si="0"/>
        <v>30.079082790052496</v>
      </c>
      <c r="L22" s="16">
        <f t="shared" ca="1" si="1"/>
        <v>239.9209172099475</v>
      </c>
      <c r="M22" s="17">
        <f t="shared" ca="1" si="2"/>
        <v>150.39541395026248</v>
      </c>
      <c r="N22" s="17">
        <f t="shared" si="3"/>
        <v>20</v>
      </c>
      <c r="O22" s="17">
        <f t="shared" si="4"/>
        <v>-810</v>
      </c>
      <c r="P22" s="18">
        <f t="shared" ca="1" si="5"/>
        <v>-119.96045860497375</v>
      </c>
      <c r="Q22" s="18">
        <f t="shared" ca="1" si="6"/>
        <v>359.88137581492128</v>
      </c>
      <c r="R22" s="19">
        <f t="shared" ca="1" si="7"/>
        <v>-399.6836688397899</v>
      </c>
      <c r="S22" s="15">
        <f t="shared" ca="1" si="8"/>
        <v>1</v>
      </c>
    </row>
    <row r="23" spans="2:19">
      <c r="B23" s="8"/>
      <c r="I23" s="15">
        <f t="shared" si="9"/>
        <v>19</v>
      </c>
      <c r="J23" s="16">
        <f t="shared" ca="1" si="10"/>
        <v>417.18961368659171</v>
      </c>
      <c r="K23" s="16">
        <f t="shared" ca="1" si="0"/>
        <v>270</v>
      </c>
      <c r="L23" s="16">
        <f t="shared" ca="1" si="1"/>
        <v>0</v>
      </c>
      <c r="M23" s="17">
        <f t="shared" ca="1" si="2"/>
        <v>1350</v>
      </c>
      <c r="N23" s="17">
        <f t="shared" si="3"/>
        <v>20</v>
      </c>
      <c r="O23" s="17">
        <f t="shared" si="4"/>
        <v>-810</v>
      </c>
      <c r="P23" s="18">
        <f t="shared" ca="1" si="5"/>
        <v>0</v>
      </c>
      <c r="Q23" s="18">
        <f t="shared" ca="1" si="6"/>
        <v>0</v>
      </c>
      <c r="R23" s="19">
        <f t="shared" ca="1" si="7"/>
        <v>560</v>
      </c>
      <c r="S23" s="15">
        <f t="shared" ca="1" si="8"/>
        <v>0</v>
      </c>
    </row>
    <row r="24" spans="2:19">
      <c r="B24" s="8"/>
      <c r="I24" s="15">
        <f t="shared" si="9"/>
        <v>20</v>
      </c>
      <c r="J24" s="16">
        <f t="shared" ca="1" si="10"/>
        <v>386.53681740598881</v>
      </c>
      <c r="K24" s="16">
        <f t="shared" ca="1" si="0"/>
        <v>270</v>
      </c>
      <c r="L24" s="16">
        <f t="shared" ca="1" si="1"/>
        <v>0</v>
      </c>
      <c r="M24" s="17">
        <f t="shared" ca="1" si="2"/>
        <v>1350</v>
      </c>
      <c r="N24" s="17">
        <f t="shared" si="3"/>
        <v>20</v>
      </c>
      <c r="O24" s="17">
        <f t="shared" si="4"/>
        <v>-810</v>
      </c>
      <c r="P24" s="18">
        <f t="shared" ca="1" si="5"/>
        <v>0</v>
      </c>
      <c r="Q24" s="18">
        <f t="shared" ca="1" si="6"/>
        <v>0</v>
      </c>
      <c r="R24" s="19">
        <f t="shared" ca="1" si="7"/>
        <v>560</v>
      </c>
      <c r="S24" s="15">
        <f t="shared" ca="1" si="8"/>
        <v>0</v>
      </c>
    </row>
    <row r="25" spans="2:19">
      <c r="B25" s="8"/>
      <c r="I25" s="15">
        <f t="shared" si="9"/>
        <v>21</v>
      </c>
      <c r="J25" s="16">
        <f t="shared" ca="1" si="10"/>
        <v>189.70840402663856</v>
      </c>
      <c r="K25" s="16">
        <f t="shared" ca="1" si="0"/>
        <v>80.291595973361439</v>
      </c>
      <c r="L25" s="16">
        <f t="shared" ca="1" si="1"/>
        <v>189.70840402663856</v>
      </c>
      <c r="M25" s="17">
        <f t="shared" ca="1" si="2"/>
        <v>401.45797986680719</v>
      </c>
      <c r="N25" s="17">
        <f t="shared" si="3"/>
        <v>20</v>
      </c>
      <c r="O25" s="17">
        <f t="shared" si="4"/>
        <v>-810</v>
      </c>
      <c r="P25" s="18">
        <f t="shared" ca="1" si="5"/>
        <v>-94.854202013319281</v>
      </c>
      <c r="Q25" s="18">
        <f t="shared" ca="1" si="6"/>
        <v>284.56260603995781</v>
      </c>
      <c r="R25" s="19">
        <f t="shared" ca="1" si="7"/>
        <v>-198.83361610655425</v>
      </c>
      <c r="S25" s="15">
        <f t="shared" ca="1" si="8"/>
        <v>1</v>
      </c>
    </row>
    <row r="26" spans="2:19">
      <c r="B26" s="8"/>
      <c r="I26" s="15">
        <f t="shared" si="9"/>
        <v>22</v>
      </c>
      <c r="J26" s="16">
        <f t="shared" ca="1" si="10"/>
        <v>132.01556101599206</v>
      </c>
      <c r="K26" s="16">
        <f t="shared" ca="1" si="0"/>
        <v>137.98443898400794</v>
      </c>
      <c r="L26" s="16">
        <f t="shared" ca="1" si="1"/>
        <v>132.01556101599206</v>
      </c>
      <c r="M26" s="17">
        <f t="shared" ca="1" si="2"/>
        <v>689.92219492003971</v>
      </c>
      <c r="N26" s="17">
        <f t="shared" si="3"/>
        <v>20</v>
      </c>
      <c r="O26" s="17">
        <f t="shared" si="4"/>
        <v>-810</v>
      </c>
      <c r="P26" s="18">
        <f t="shared" ca="1" si="5"/>
        <v>-66.007780507996031</v>
      </c>
      <c r="Q26" s="18">
        <f t="shared" ca="1" si="6"/>
        <v>198.02334152398811</v>
      </c>
      <c r="R26" s="19">
        <f t="shared" ca="1" si="7"/>
        <v>31.937755936031806</v>
      </c>
      <c r="S26" s="15">
        <f t="shared" ca="1" si="8"/>
        <v>0</v>
      </c>
    </row>
    <row r="27" spans="2:19">
      <c r="B27" s="8"/>
      <c r="C27" s="7"/>
      <c r="I27" s="15">
        <f t="shared" si="9"/>
        <v>23</v>
      </c>
      <c r="J27" s="16">
        <f t="shared" ca="1" si="10"/>
        <v>157.39177460671058</v>
      </c>
      <c r="K27" s="16">
        <f t="shared" ca="1" si="0"/>
        <v>112.60822539328942</v>
      </c>
      <c r="L27" s="16">
        <f t="shared" ca="1" si="1"/>
        <v>157.39177460671058</v>
      </c>
      <c r="M27" s="17">
        <f t="shared" ca="1" si="2"/>
        <v>563.04112696644711</v>
      </c>
      <c r="N27" s="17">
        <f t="shared" si="3"/>
        <v>20</v>
      </c>
      <c r="O27" s="17">
        <f t="shared" si="4"/>
        <v>-810</v>
      </c>
      <c r="P27" s="18">
        <f t="shared" ca="1" si="5"/>
        <v>-78.695887303355292</v>
      </c>
      <c r="Q27" s="18">
        <f t="shared" ca="1" si="6"/>
        <v>236.08766191006589</v>
      </c>
      <c r="R27" s="19">
        <f t="shared" ca="1" si="7"/>
        <v>-69.567098426842279</v>
      </c>
      <c r="S27" s="15">
        <f t="shared" ca="1" si="8"/>
        <v>1</v>
      </c>
    </row>
    <row r="28" spans="2:19">
      <c r="I28" s="15">
        <f t="shared" si="9"/>
        <v>24</v>
      </c>
      <c r="J28" s="16">
        <f t="shared" ca="1" si="10"/>
        <v>405.49312059892105</v>
      </c>
      <c r="K28" s="16">
        <f t="shared" ca="1" si="0"/>
        <v>270</v>
      </c>
      <c r="L28" s="16">
        <f t="shared" ca="1" si="1"/>
        <v>0</v>
      </c>
      <c r="M28" s="17">
        <f t="shared" ca="1" si="2"/>
        <v>1350</v>
      </c>
      <c r="N28" s="17">
        <f t="shared" si="3"/>
        <v>20</v>
      </c>
      <c r="O28" s="17">
        <f t="shared" si="4"/>
        <v>-810</v>
      </c>
      <c r="P28" s="18">
        <f t="shared" ca="1" si="5"/>
        <v>0</v>
      </c>
      <c r="Q28" s="18">
        <f t="shared" ca="1" si="6"/>
        <v>0</v>
      </c>
      <c r="R28" s="19">
        <f t="shared" ca="1" si="7"/>
        <v>560</v>
      </c>
      <c r="S28" s="15">
        <f t="shared" ca="1" si="8"/>
        <v>0</v>
      </c>
    </row>
    <row r="29" spans="2:19">
      <c r="I29" s="15">
        <f t="shared" si="9"/>
        <v>25</v>
      </c>
      <c r="J29" s="16">
        <f t="shared" ca="1" si="10"/>
        <v>264.4548841569848</v>
      </c>
      <c r="K29" s="16">
        <f t="shared" ca="1" si="0"/>
        <v>5.5451158430151963</v>
      </c>
      <c r="L29" s="16">
        <f t="shared" ca="1" si="1"/>
        <v>264.4548841569848</v>
      </c>
      <c r="M29" s="17">
        <f t="shared" ca="1" si="2"/>
        <v>27.725579215075982</v>
      </c>
      <c r="N29" s="17">
        <f t="shared" si="3"/>
        <v>20</v>
      </c>
      <c r="O29" s="17">
        <f t="shared" si="4"/>
        <v>-810</v>
      </c>
      <c r="P29" s="18">
        <f t="shared" ca="1" si="5"/>
        <v>-132.2274420784924</v>
      </c>
      <c r="Q29" s="18">
        <f t="shared" ca="1" si="6"/>
        <v>396.68232623547721</v>
      </c>
      <c r="R29" s="19">
        <f t="shared" ca="1" si="7"/>
        <v>-497.81953662793916</v>
      </c>
      <c r="S29" s="15">
        <f t="shared" ca="1" si="8"/>
        <v>1</v>
      </c>
    </row>
    <row r="30" spans="2:19">
      <c r="I30" s="15">
        <f t="shared" si="9"/>
        <v>26</v>
      </c>
      <c r="J30" s="16">
        <f t="shared" ca="1" si="10"/>
        <v>160.51399088213893</v>
      </c>
      <c r="K30" s="16">
        <f t="shared" ca="1" si="0"/>
        <v>109.48600911786107</v>
      </c>
      <c r="L30" s="16">
        <f t="shared" ca="1" si="1"/>
        <v>160.51399088213893</v>
      </c>
      <c r="M30" s="17">
        <f t="shared" ca="1" si="2"/>
        <v>547.43004558930534</v>
      </c>
      <c r="N30" s="17">
        <f t="shared" si="3"/>
        <v>20</v>
      </c>
      <c r="O30" s="17">
        <f t="shared" si="4"/>
        <v>-810</v>
      </c>
      <c r="P30" s="18">
        <f t="shared" ca="1" si="5"/>
        <v>-80.256995441069463</v>
      </c>
      <c r="Q30" s="18">
        <f t="shared" ca="1" si="6"/>
        <v>240.77098632320838</v>
      </c>
      <c r="R30" s="19">
        <f t="shared" ca="1" si="7"/>
        <v>-82.055963528555765</v>
      </c>
      <c r="S30" s="15">
        <f t="shared" ca="1" si="8"/>
        <v>1</v>
      </c>
    </row>
    <row r="31" spans="2:19">
      <c r="I31" s="15">
        <f t="shared" si="9"/>
        <v>27</v>
      </c>
      <c r="J31" s="16">
        <f t="shared" ca="1" si="10"/>
        <v>341.74206135304485</v>
      </c>
      <c r="K31" s="16">
        <f t="shared" ca="1" si="0"/>
        <v>270</v>
      </c>
      <c r="L31" s="16">
        <f t="shared" ca="1" si="1"/>
        <v>0</v>
      </c>
      <c r="M31" s="17">
        <f t="shared" ca="1" si="2"/>
        <v>1350</v>
      </c>
      <c r="N31" s="17">
        <f t="shared" si="3"/>
        <v>20</v>
      </c>
      <c r="O31" s="17">
        <f t="shared" si="4"/>
        <v>-810</v>
      </c>
      <c r="P31" s="18">
        <f t="shared" ca="1" si="5"/>
        <v>0</v>
      </c>
      <c r="Q31" s="18">
        <f t="shared" ca="1" si="6"/>
        <v>0</v>
      </c>
      <c r="R31" s="19">
        <f t="shared" ca="1" si="7"/>
        <v>560</v>
      </c>
      <c r="S31" s="15">
        <f t="shared" ca="1" si="8"/>
        <v>0</v>
      </c>
    </row>
    <row r="32" spans="2:19">
      <c r="I32" s="15">
        <f t="shared" si="9"/>
        <v>28</v>
      </c>
      <c r="J32" s="16">
        <f t="shared" ca="1" si="10"/>
        <v>166.76459016865405</v>
      </c>
      <c r="K32" s="16">
        <f t="shared" ca="1" si="0"/>
        <v>103.23540983134595</v>
      </c>
      <c r="L32" s="16">
        <f t="shared" ca="1" si="1"/>
        <v>166.76459016865405</v>
      </c>
      <c r="M32" s="17">
        <f t="shared" ca="1" si="2"/>
        <v>516.17704915672971</v>
      </c>
      <c r="N32" s="17">
        <f t="shared" si="3"/>
        <v>20</v>
      </c>
      <c r="O32" s="17">
        <f t="shared" si="4"/>
        <v>-810</v>
      </c>
      <c r="P32" s="18">
        <f t="shared" ca="1" si="5"/>
        <v>-83.382295084327026</v>
      </c>
      <c r="Q32" s="18">
        <f t="shared" ca="1" si="6"/>
        <v>250.14688525298106</v>
      </c>
      <c r="R32" s="19">
        <f t="shared" ca="1" si="7"/>
        <v>-107.05836067461627</v>
      </c>
      <c r="S32" s="15">
        <f t="shared" ca="1" si="8"/>
        <v>1</v>
      </c>
    </row>
    <row r="33" spans="9:19">
      <c r="I33" s="15">
        <f t="shared" si="9"/>
        <v>29</v>
      </c>
      <c r="J33" s="16">
        <f t="shared" ca="1" si="10"/>
        <v>308.26752457098894</v>
      </c>
      <c r="K33" s="16">
        <f t="shared" ca="1" si="0"/>
        <v>270</v>
      </c>
      <c r="L33" s="16">
        <f t="shared" ca="1" si="1"/>
        <v>0</v>
      </c>
      <c r="M33" s="17">
        <f t="shared" ca="1" si="2"/>
        <v>1350</v>
      </c>
      <c r="N33" s="17">
        <f t="shared" si="3"/>
        <v>20</v>
      </c>
      <c r="O33" s="17">
        <f t="shared" si="4"/>
        <v>-810</v>
      </c>
      <c r="P33" s="18">
        <f t="shared" ca="1" si="5"/>
        <v>0</v>
      </c>
      <c r="Q33" s="18">
        <f t="shared" ca="1" si="6"/>
        <v>0</v>
      </c>
      <c r="R33" s="19">
        <f t="shared" ca="1" si="7"/>
        <v>560</v>
      </c>
      <c r="S33" s="15">
        <f t="shared" ca="1" si="8"/>
        <v>0</v>
      </c>
    </row>
    <row r="34" spans="9:19">
      <c r="I34" s="15">
        <f t="shared" si="9"/>
        <v>30</v>
      </c>
      <c r="J34" s="16">
        <f t="shared" ca="1" si="10"/>
        <v>417.80650392654741</v>
      </c>
      <c r="K34" s="16">
        <f t="shared" ca="1" si="0"/>
        <v>270</v>
      </c>
      <c r="L34" s="16">
        <f t="shared" ca="1" si="1"/>
        <v>0</v>
      </c>
      <c r="M34" s="17">
        <f t="shared" ca="1" si="2"/>
        <v>1350</v>
      </c>
      <c r="N34" s="17">
        <f t="shared" si="3"/>
        <v>20</v>
      </c>
      <c r="O34" s="17">
        <f t="shared" si="4"/>
        <v>-810</v>
      </c>
      <c r="P34" s="18">
        <f t="shared" ca="1" si="5"/>
        <v>0</v>
      </c>
      <c r="Q34" s="18">
        <f t="shared" ca="1" si="6"/>
        <v>0</v>
      </c>
      <c r="R34" s="19">
        <f t="shared" ca="1" si="7"/>
        <v>560</v>
      </c>
      <c r="S34" s="15">
        <f t="shared" ca="1" si="8"/>
        <v>0</v>
      </c>
    </row>
    <row r="35" spans="9:19">
      <c r="I35" s="15">
        <f t="shared" si="9"/>
        <v>31</v>
      </c>
      <c r="J35" s="16">
        <f t="shared" ca="1" si="10"/>
        <v>328.42495741536345</v>
      </c>
      <c r="K35" s="16">
        <f t="shared" ca="1" si="0"/>
        <v>270</v>
      </c>
      <c r="L35" s="16">
        <f t="shared" ca="1" si="1"/>
        <v>0</v>
      </c>
      <c r="M35" s="17">
        <f t="shared" ca="1" si="2"/>
        <v>1350</v>
      </c>
      <c r="N35" s="17">
        <f t="shared" si="3"/>
        <v>20</v>
      </c>
      <c r="O35" s="17">
        <f t="shared" si="4"/>
        <v>-810</v>
      </c>
      <c r="P35" s="18">
        <f t="shared" ca="1" si="5"/>
        <v>0</v>
      </c>
      <c r="Q35" s="18">
        <f t="shared" ca="1" si="6"/>
        <v>0</v>
      </c>
      <c r="R35" s="19">
        <f t="shared" ca="1" si="7"/>
        <v>560</v>
      </c>
      <c r="S35" s="15">
        <f t="shared" ca="1" si="8"/>
        <v>0</v>
      </c>
    </row>
    <row r="36" spans="9:19">
      <c r="I36" s="15">
        <f t="shared" si="9"/>
        <v>32</v>
      </c>
      <c r="J36" s="16">
        <f t="shared" ca="1" si="10"/>
        <v>265.30900393439401</v>
      </c>
      <c r="K36" s="16">
        <f t="shared" ca="1" si="0"/>
        <v>4.6909960656059866</v>
      </c>
      <c r="L36" s="16">
        <f t="shared" ca="1" si="1"/>
        <v>265.30900393439401</v>
      </c>
      <c r="M36" s="17">
        <f t="shared" ca="1" si="2"/>
        <v>23.454980328029933</v>
      </c>
      <c r="N36" s="17">
        <f t="shared" si="3"/>
        <v>20</v>
      </c>
      <c r="O36" s="17">
        <f t="shared" si="4"/>
        <v>-810</v>
      </c>
      <c r="P36" s="18">
        <f t="shared" ca="1" si="5"/>
        <v>-132.65450196719701</v>
      </c>
      <c r="Q36" s="18">
        <f t="shared" ca="1" si="6"/>
        <v>397.96350590159102</v>
      </c>
      <c r="R36" s="19">
        <f t="shared" ca="1" si="7"/>
        <v>-501.23601573757605</v>
      </c>
      <c r="S36" s="15">
        <f t="shared" ca="1" si="8"/>
        <v>1</v>
      </c>
    </row>
    <row r="37" spans="9:19">
      <c r="I37" s="15">
        <f t="shared" si="9"/>
        <v>33</v>
      </c>
      <c r="J37" s="16">
        <f t="shared" ca="1" si="10"/>
        <v>324.80697139175487</v>
      </c>
      <c r="K37" s="16">
        <f t="shared" ca="1" si="0"/>
        <v>270</v>
      </c>
      <c r="L37" s="16">
        <f t="shared" ca="1" si="1"/>
        <v>0</v>
      </c>
      <c r="M37" s="17">
        <f t="shared" ca="1" si="2"/>
        <v>1350</v>
      </c>
      <c r="N37" s="17">
        <f t="shared" si="3"/>
        <v>20</v>
      </c>
      <c r="O37" s="17">
        <f t="shared" si="4"/>
        <v>-810</v>
      </c>
      <c r="P37" s="18">
        <f t="shared" ca="1" si="5"/>
        <v>0</v>
      </c>
      <c r="Q37" s="18">
        <f t="shared" ca="1" si="6"/>
        <v>0</v>
      </c>
      <c r="R37" s="19">
        <f t="shared" ca="1" si="7"/>
        <v>560</v>
      </c>
      <c r="S37" s="15">
        <f t="shared" ca="1" si="8"/>
        <v>0</v>
      </c>
    </row>
    <row r="38" spans="9:19">
      <c r="I38" s="15">
        <f t="shared" si="9"/>
        <v>34</v>
      </c>
      <c r="J38" s="16">
        <f t="shared" ca="1" si="10"/>
        <v>399.14422648621678</v>
      </c>
      <c r="K38" s="16">
        <f t="shared" ca="1" si="0"/>
        <v>270</v>
      </c>
      <c r="L38" s="16">
        <f t="shared" ca="1" si="1"/>
        <v>0</v>
      </c>
      <c r="M38" s="17">
        <f t="shared" ca="1" si="2"/>
        <v>1350</v>
      </c>
      <c r="N38" s="17">
        <f t="shared" si="3"/>
        <v>20</v>
      </c>
      <c r="O38" s="17">
        <f t="shared" si="4"/>
        <v>-810</v>
      </c>
      <c r="P38" s="18">
        <f t="shared" ca="1" si="5"/>
        <v>0</v>
      </c>
      <c r="Q38" s="18">
        <f t="shared" ca="1" si="6"/>
        <v>0</v>
      </c>
      <c r="R38" s="19">
        <f t="shared" ca="1" si="7"/>
        <v>560</v>
      </c>
      <c r="S38" s="15">
        <f t="shared" ca="1" si="8"/>
        <v>0</v>
      </c>
    </row>
    <row r="39" spans="9:19">
      <c r="I39" s="15">
        <f t="shared" si="9"/>
        <v>35</v>
      </c>
      <c r="J39" s="16">
        <f t="shared" ca="1" si="10"/>
        <v>239.39674094290643</v>
      </c>
      <c r="K39" s="16">
        <f t="shared" ca="1" si="0"/>
        <v>30.603259057093567</v>
      </c>
      <c r="L39" s="16">
        <f t="shared" ca="1" si="1"/>
        <v>239.39674094290643</v>
      </c>
      <c r="M39" s="17">
        <f t="shared" ca="1" si="2"/>
        <v>153.01629528546783</v>
      </c>
      <c r="N39" s="17">
        <f t="shared" si="3"/>
        <v>20</v>
      </c>
      <c r="O39" s="17">
        <f t="shared" si="4"/>
        <v>-810</v>
      </c>
      <c r="P39" s="18">
        <f t="shared" ca="1" si="5"/>
        <v>-119.69837047145322</v>
      </c>
      <c r="Q39" s="18">
        <f t="shared" ca="1" si="6"/>
        <v>359.09511141435962</v>
      </c>
      <c r="R39" s="19">
        <f t="shared" ca="1" si="7"/>
        <v>-397.58696377162585</v>
      </c>
      <c r="S39" s="15">
        <f t="shared" ca="1" si="8"/>
        <v>1</v>
      </c>
    </row>
    <row r="40" spans="9:19">
      <c r="I40" s="15">
        <f t="shared" si="9"/>
        <v>36</v>
      </c>
      <c r="J40" s="16">
        <f t="shared" ca="1" si="10"/>
        <v>362.65035669383326</v>
      </c>
      <c r="K40" s="16">
        <f t="shared" ca="1" si="0"/>
        <v>270</v>
      </c>
      <c r="L40" s="16">
        <f t="shared" ca="1" si="1"/>
        <v>0</v>
      </c>
      <c r="M40" s="17">
        <f t="shared" ca="1" si="2"/>
        <v>1350</v>
      </c>
      <c r="N40" s="17">
        <f t="shared" si="3"/>
        <v>20</v>
      </c>
      <c r="O40" s="17">
        <f t="shared" si="4"/>
        <v>-810</v>
      </c>
      <c r="P40" s="18">
        <f t="shared" ca="1" si="5"/>
        <v>0</v>
      </c>
      <c r="Q40" s="18">
        <f t="shared" ca="1" si="6"/>
        <v>0</v>
      </c>
      <c r="R40" s="19">
        <f t="shared" ca="1" si="7"/>
        <v>560</v>
      </c>
      <c r="S40" s="15">
        <f t="shared" ca="1" si="8"/>
        <v>0</v>
      </c>
    </row>
    <row r="41" spans="9:19">
      <c r="I41" s="15">
        <f t="shared" si="9"/>
        <v>37</v>
      </c>
      <c r="J41" s="16">
        <f t="shared" ca="1" si="10"/>
        <v>228.35179287694967</v>
      </c>
      <c r="K41" s="16">
        <f t="shared" ca="1" si="0"/>
        <v>41.648207123050327</v>
      </c>
      <c r="L41" s="16">
        <f t="shared" ca="1" si="1"/>
        <v>228.35179287694967</v>
      </c>
      <c r="M41" s="17">
        <f t="shared" ca="1" si="2"/>
        <v>208.24103561525163</v>
      </c>
      <c r="N41" s="17">
        <f t="shared" si="3"/>
        <v>20</v>
      </c>
      <c r="O41" s="17">
        <f t="shared" si="4"/>
        <v>-810</v>
      </c>
      <c r="P41" s="18">
        <f t="shared" ca="1" si="5"/>
        <v>-114.17589643847484</v>
      </c>
      <c r="Q41" s="18">
        <f t="shared" ca="1" si="6"/>
        <v>342.52768931542448</v>
      </c>
      <c r="R41" s="19">
        <f t="shared" ca="1" si="7"/>
        <v>-353.40717150779881</v>
      </c>
      <c r="S41" s="15">
        <f t="shared" ca="1" si="8"/>
        <v>1</v>
      </c>
    </row>
    <row r="42" spans="9:19">
      <c r="I42" s="15">
        <f t="shared" si="9"/>
        <v>38</v>
      </c>
      <c r="J42" s="16">
        <f t="shared" ca="1" si="10"/>
        <v>302.2303254842501</v>
      </c>
      <c r="K42" s="16">
        <f t="shared" ca="1" si="0"/>
        <v>270</v>
      </c>
      <c r="L42" s="16">
        <f t="shared" ca="1" si="1"/>
        <v>0</v>
      </c>
      <c r="M42" s="17">
        <f t="shared" ca="1" si="2"/>
        <v>1350</v>
      </c>
      <c r="N42" s="17">
        <f t="shared" si="3"/>
        <v>20</v>
      </c>
      <c r="O42" s="17">
        <f t="shared" si="4"/>
        <v>-810</v>
      </c>
      <c r="P42" s="18">
        <f t="shared" ca="1" si="5"/>
        <v>0</v>
      </c>
      <c r="Q42" s="18">
        <f t="shared" ca="1" si="6"/>
        <v>0</v>
      </c>
      <c r="R42" s="19">
        <f t="shared" ca="1" si="7"/>
        <v>560</v>
      </c>
      <c r="S42" s="15">
        <f t="shared" ca="1" si="8"/>
        <v>0</v>
      </c>
    </row>
    <row r="43" spans="9:19">
      <c r="I43" s="15">
        <f t="shared" si="9"/>
        <v>39</v>
      </c>
      <c r="J43" s="16">
        <f t="shared" ca="1" si="10"/>
        <v>246.04896881312817</v>
      </c>
      <c r="K43" s="16">
        <f t="shared" ca="1" si="0"/>
        <v>23.95103118687183</v>
      </c>
      <c r="L43" s="16">
        <f t="shared" ca="1" si="1"/>
        <v>246.04896881312817</v>
      </c>
      <c r="M43" s="17">
        <f t="shared" ca="1" si="2"/>
        <v>119.75515593435915</v>
      </c>
      <c r="N43" s="17">
        <f t="shared" si="3"/>
        <v>20</v>
      </c>
      <c r="O43" s="17">
        <f t="shared" si="4"/>
        <v>-810</v>
      </c>
      <c r="P43" s="18">
        <f t="shared" ca="1" si="5"/>
        <v>-123.02448440656408</v>
      </c>
      <c r="Q43" s="18">
        <f t="shared" ca="1" si="6"/>
        <v>369.07345321969228</v>
      </c>
      <c r="R43" s="19">
        <f t="shared" ca="1" si="7"/>
        <v>-424.19587525251256</v>
      </c>
      <c r="S43" s="15">
        <f t="shared" ca="1" si="8"/>
        <v>1</v>
      </c>
    </row>
    <row r="44" spans="9:19">
      <c r="I44" s="15">
        <f t="shared" si="9"/>
        <v>40</v>
      </c>
      <c r="J44" s="16">
        <f t="shared" ca="1" si="10"/>
        <v>300.63667398851533</v>
      </c>
      <c r="K44" s="16">
        <f t="shared" ca="1" si="0"/>
        <v>270</v>
      </c>
      <c r="L44" s="16">
        <f t="shared" ca="1" si="1"/>
        <v>0</v>
      </c>
      <c r="M44" s="17">
        <f t="shared" ca="1" si="2"/>
        <v>1350</v>
      </c>
      <c r="N44" s="17">
        <f t="shared" si="3"/>
        <v>20</v>
      </c>
      <c r="O44" s="17">
        <f t="shared" si="4"/>
        <v>-810</v>
      </c>
      <c r="P44" s="18">
        <f t="shared" ca="1" si="5"/>
        <v>0</v>
      </c>
      <c r="Q44" s="18">
        <f t="shared" ca="1" si="6"/>
        <v>0</v>
      </c>
      <c r="R44" s="19">
        <f t="shared" ca="1" si="7"/>
        <v>560</v>
      </c>
      <c r="S44" s="15">
        <f t="shared" ca="1" si="8"/>
        <v>0</v>
      </c>
    </row>
    <row r="45" spans="9:19">
      <c r="I45" s="15">
        <f t="shared" si="9"/>
        <v>41</v>
      </c>
      <c r="J45" s="16">
        <f t="shared" ca="1" si="10"/>
        <v>405.05052066382228</v>
      </c>
      <c r="K45" s="16">
        <f t="shared" ca="1" si="0"/>
        <v>270</v>
      </c>
      <c r="L45" s="16">
        <f t="shared" ca="1" si="1"/>
        <v>0</v>
      </c>
      <c r="M45" s="17">
        <f t="shared" ca="1" si="2"/>
        <v>1350</v>
      </c>
      <c r="N45" s="17">
        <f t="shared" si="3"/>
        <v>20</v>
      </c>
      <c r="O45" s="17">
        <f t="shared" si="4"/>
        <v>-810</v>
      </c>
      <c r="P45" s="18">
        <f t="shared" ca="1" si="5"/>
        <v>0</v>
      </c>
      <c r="Q45" s="18">
        <f t="shared" ca="1" si="6"/>
        <v>0</v>
      </c>
      <c r="R45" s="19">
        <f t="shared" ca="1" si="7"/>
        <v>560</v>
      </c>
      <c r="S45" s="15">
        <f t="shared" ca="1" si="8"/>
        <v>0</v>
      </c>
    </row>
    <row r="46" spans="9:19">
      <c r="I46" s="15">
        <f t="shared" si="9"/>
        <v>42</v>
      </c>
      <c r="J46" s="16">
        <f t="shared" ca="1" si="10"/>
        <v>362.26850513901138</v>
      </c>
      <c r="K46" s="16">
        <f t="shared" ca="1" si="0"/>
        <v>270</v>
      </c>
      <c r="L46" s="16">
        <f t="shared" ca="1" si="1"/>
        <v>0</v>
      </c>
      <c r="M46" s="17">
        <f t="shared" ca="1" si="2"/>
        <v>1350</v>
      </c>
      <c r="N46" s="17">
        <f t="shared" si="3"/>
        <v>20</v>
      </c>
      <c r="O46" s="17">
        <f t="shared" si="4"/>
        <v>-810</v>
      </c>
      <c r="P46" s="18">
        <f t="shared" ca="1" si="5"/>
        <v>0</v>
      </c>
      <c r="Q46" s="18">
        <f t="shared" ca="1" si="6"/>
        <v>0</v>
      </c>
      <c r="R46" s="19">
        <f t="shared" ca="1" si="7"/>
        <v>560</v>
      </c>
      <c r="S46" s="15">
        <f t="shared" ca="1" si="8"/>
        <v>0</v>
      </c>
    </row>
    <row r="47" spans="9:19">
      <c r="I47" s="15">
        <f t="shared" si="9"/>
        <v>43</v>
      </c>
      <c r="J47" s="16">
        <f t="shared" ca="1" si="10"/>
        <v>396.69093199989231</v>
      </c>
      <c r="K47" s="16">
        <f t="shared" ca="1" si="0"/>
        <v>270</v>
      </c>
      <c r="L47" s="16">
        <f t="shared" ca="1" si="1"/>
        <v>0</v>
      </c>
      <c r="M47" s="17">
        <f t="shared" ca="1" si="2"/>
        <v>1350</v>
      </c>
      <c r="N47" s="17">
        <f t="shared" si="3"/>
        <v>20</v>
      </c>
      <c r="O47" s="17">
        <f t="shared" si="4"/>
        <v>-810</v>
      </c>
      <c r="P47" s="18">
        <f t="shared" ca="1" si="5"/>
        <v>0</v>
      </c>
      <c r="Q47" s="18">
        <f t="shared" ca="1" si="6"/>
        <v>0</v>
      </c>
      <c r="R47" s="19">
        <f t="shared" ca="1" si="7"/>
        <v>560</v>
      </c>
      <c r="S47" s="15">
        <f t="shared" ca="1" si="8"/>
        <v>0</v>
      </c>
    </row>
    <row r="48" spans="9:19">
      <c r="I48" s="15">
        <f t="shared" si="9"/>
        <v>44</v>
      </c>
      <c r="J48" s="16">
        <f t="shared" ca="1" si="10"/>
        <v>339.88925558388797</v>
      </c>
      <c r="K48" s="16">
        <f t="shared" ca="1" si="0"/>
        <v>270</v>
      </c>
      <c r="L48" s="16">
        <f t="shared" ca="1" si="1"/>
        <v>0</v>
      </c>
      <c r="M48" s="17">
        <f t="shared" ca="1" si="2"/>
        <v>1350</v>
      </c>
      <c r="N48" s="17">
        <f t="shared" si="3"/>
        <v>20</v>
      </c>
      <c r="O48" s="17">
        <f t="shared" si="4"/>
        <v>-810</v>
      </c>
      <c r="P48" s="18">
        <f t="shared" ca="1" si="5"/>
        <v>0</v>
      </c>
      <c r="Q48" s="18">
        <f t="shared" ca="1" si="6"/>
        <v>0</v>
      </c>
      <c r="R48" s="19">
        <f t="shared" ca="1" si="7"/>
        <v>560</v>
      </c>
      <c r="S48" s="15">
        <f t="shared" ca="1" si="8"/>
        <v>0</v>
      </c>
    </row>
    <row r="49" spans="9:19">
      <c r="I49" s="15">
        <f t="shared" si="9"/>
        <v>45</v>
      </c>
      <c r="J49" s="16">
        <f t="shared" ca="1" si="10"/>
        <v>353.05787831113571</v>
      </c>
      <c r="K49" s="16">
        <f t="shared" ca="1" si="0"/>
        <v>270</v>
      </c>
      <c r="L49" s="16">
        <f t="shared" ca="1" si="1"/>
        <v>0</v>
      </c>
      <c r="M49" s="17">
        <f t="shared" ca="1" si="2"/>
        <v>1350</v>
      </c>
      <c r="N49" s="17">
        <f t="shared" si="3"/>
        <v>20</v>
      </c>
      <c r="O49" s="17">
        <f t="shared" si="4"/>
        <v>-810</v>
      </c>
      <c r="P49" s="18">
        <f t="shared" ca="1" si="5"/>
        <v>0</v>
      </c>
      <c r="Q49" s="18">
        <f t="shared" ca="1" si="6"/>
        <v>0</v>
      </c>
      <c r="R49" s="19">
        <f t="shared" ca="1" si="7"/>
        <v>560</v>
      </c>
      <c r="S49" s="15">
        <f t="shared" ca="1" si="8"/>
        <v>0</v>
      </c>
    </row>
    <row r="50" spans="9:19">
      <c r="I50" s="15">
        <f t="shared" si="9"/>
        <v>46</v>
      </c>
      <c r="J50" s="16">
        <f t="shared" ca="1" si="10"/>
        <v>162.06381699558216</v>
      </c>
      <c r="K50" s="16">
        <f t="shared" ca="1" si="0"/>
        <v>107.93618300441784</v>
      </c>
      <c r="L50" s="16">
        <f t="shared" ca="1" si="1"/>
        <v>162.06381699558216</v>
      </c>
      <c r="M50" s="17">
        <f t="shared" ca="1" si="2"/>
        <v>539.68091502208927</v>
      </c>
      <c r="N50" s="17">
        <f t="shared" si="3"/>
        <v>20</v>
      </c>
      <c r="O50" s="17">
        <f t="shared" si="4"/>
        <v>-810</v>
      </c>
      <c r="P50" s="18">
        <f t="shared" ca="1" si="5"/>
        <v>-81.031908497791079</v>
      </c>
      <c r="Q50" s="18">
        <f t="shared" ca="1" si="6"/>
        <v>243.09572549337324</v>
      </c>
      <c r="R50" s="19">
        <f t="shared" ca="1" si="7"/>
        <v>-88.255267982328547</v>
      </c>
      <c r="S50" s="15">
        <f t="shared" ca="1" si="8"/>
        <v>1</v>
      </c>
    </row>
    <row r="51" spans="9:19">
      <c r="I51" s="15">
        <f t="shared" si="9"/>
        <v>47</v>
      </c>
      <c r="J51" s="16">
        <f t="shared" ca="1" si="10"/>
        <v>133.5577025300102</v>
      </c>
      <c r="K51" s="16">
        <f t="shared" ca="1" si="0"/>
        <v>136.4422974699898</v>
      </c>
      <c r="L51" s="16">
        <f t="shared" ca="1" si="1"/>
        <v>133.5577025300102</v>
      </c>
      <c r="M51" s="17">
        <f t="shared" ca="1" si="2"/>
        <v>682.21148734994904</v>
      </c>
      <c r="N51" s="17">
        <f t="shared" si="3"/>
        <v>20</v>
      </c>
      <c r="O51" s="17">
        <f t="shared" si="4"/>
        <v>-810</v>
      </c>
      <c r="P51" s="18">
        <f t="shared" ca="1" si="5"/>
        <v>-66.778851265005102</v>
      </c>
      <c r="Q51" s="18">
        <f t="shared" ca="1" si="6"/>
        <v>200.33655379501531</v>
      </c>
      <c r="R51" s="19">
        <f t="shared" ca="1" si="7"/>
        <v>25.769189879959242</v>
      </c>
      <c r="S51" s="15">
        <f t="shared" ca="1" si="8"/>
        <v>0</v>
      </c>
    </row>
    <row r="52" spans="9:19">
      <c r="I52" s="15">
        <f t="shared" si="9"/>
        <v>48</v>
      </c>
      <c r="J52" s="16">
        <f t="shared" ca="1" si="10"/>
        <v>161.90395870679706</v>
      </c>
      <c r="K52" s="16">
        <f t="shared" ca="1" si="0"/>
        <v>108.09604129320294</v>
      </c>
      <c r="L52" s="16">
        <f t="shared" ca="1" si="1"/>
        <v>161.90395870679706</v>
      </c>
      <c r="M52" s="17">
        <f t="shared" ca="1" si="2"/>
        <v>540.48020646601469</v>
      </c>
      <c r="N52" s="17">
        <f t="shared" si="3"/>
        <v>20</v>
      </c>
      <c r="O52" s="17">
        <f t="shared" si="4"/>
        <v>-810</v>
      </c>
      <c r="P52" s="18">
        <f t="shared" ca="1" si="5"/>
        <v>-80.951979353398528</v>
      </c>
      <c r="Q52" s="18">
        <f t="shared" ca="1" si="6"/>
        <v>242.85593806019557</v>
      </c>
      <c r="R52" s="19">
        <f t="shared" ca="1" si="7"/>
        <v>-87.61583482718828</v>
      </c>
      <c r="S52" s="15">
        <f t="shared" ca="1" si="8"/>
        <v>1</v>
      </c>
    </row>
    <row r="53" spans="9:19">
      <c r="I53" s="15">
        <f t="shared" si="9"/>
        <v>49</v>
      </c>
      <c r="J53" s="16">
        <f t="shared" ca="1" si="10"/>
        <v>331.9660245580643</v>
      </c>
      <c r="K53" s="16">
        <f t="shared" ca="1" si="0"/>
        <v>270</v>
      </c>
      <c r="L53" s="16">
        <f t="shared" ca="1" si="1"/>
        <v>0</v>
      </c>
      <c r="M53" s="17">
        <f t="shared" ca="1" si="2"/>
        <v>1350</v>
      </c>
      <c r="N53" s="17">
        <f t="shared" si="3"/>
        <v>20</v>
      </c>
      <c r="O53" s="17">
        <f t="shared" si="4"/>
        <v>-810</v>
      </c>
      <c r="P53" s="18">
        <f t="shared" ca="1" si="5"/>
        <v>0</v>
      </c>
      <c r="Q53" s="18">
        <f t="shared" ca="1" si="6"/>
        <v>0</v>
      </c>
      <c r="R53" s="19">
        <f t="shared" ca="1" si="7"/>
        <v>560</v>
      </c>
      <c r="S53" s="15">
        <f t="shared" ca="1" si="8"/>
        <v>0</v>
      </c>
    </row>
    <row r="54" spans="9:19">
      <c r="I54" s="15">
        <f t="shared" si="9"/>
        <v>50</v>
      </c>
      <c r="J54" s="16">
        <f t="shared" ca="1" si="10"/>
        <v>396.92387228259184</v>
      </c>
      <c r="K54" s="16">
        <f t="shared" ca="1" si="0"/>
        <v>270</v>
      </c>
      <c r="L54" s="16">
        <f t="shared" ca="1" si="1"/>
        <v>0</v>
      </c>
      <c r="M54" s="17">
        <f t="shared" ca="1" si="2"/>
        <v>1350</v>
      </c>
      <c r="N54" s="17">
        <f t="shared" si="3"/>
        <v>20</v>
      </c>
      <c r="O54" s="17">
        <f t="shared" si="4"/>
        <v>-810</v>
      </c>
      <c r="P54" s="18">
        <f t="shared" ca="1" si="5"/>
        <v>0</v>
      </c>
      <c r="Q54" s="18">
        <f t="shared" ca="1" si="6"/>
        <v>0</v>
      </c>
      <c r="R54" s="19">
        <f t="shared" ca="1" si="7"/>
        <v>560</v>
      </c>
      <c r="S54" s="15">
        <f t="shared" ca="1" si="8"/>
        <v>0</v>
      </c>
    </row>
    <row r="55" spans="9:19">
      <c r="I55" s="15">
        <f t="shared" si="9"/>
        <v>51</v>
      </c>
      <c r="J55" s="16">
        <f t="shared" ca="1" si="10"/>
        <v>385.01101054145022</v>
      </c>
      <c r="K55" s="16">
        <f t="shared" ca="1" si="0"/>
        <v>270</v>
      </c>
      <c r="L55" s="16">
        <f t="shared" ca="1" si="1"/>
        <v>0</v>
      </c>
      <c r="M55" s="17">
        <f t="shared" ca="1" si="2"/>
        <v>1350</v>
      </c>
      <c r="N55" s="17">
        <f t="shared" si="3"/>
        <v>20</v>
      </c>
      <c r="O55" s="17">
        <f t="shared" si="4"/>
        <v>-810</v>
      </c>
      <c r="P55" s="18">
        <f t="shared" ca="1" si="5"/>
        <v>0</v>
      </c>
      <c r="Q55" s="18">
        <f t="shared" ca="1" si="6"/>
        <v>0</v>
      </c>
      <c r="R55" s="19">
        <f t="shared" ca="1" si="7"/>
        <v>560</v>
      </c>
      <c r="S55" s="15">
        <f t="shared" ca="1" si="8"/>
        <v>0</v>
      </c>
    </row>
    <row r="56" spans="9:19">
      <c r="I56" s="15">
        <f t="shared" si="9"/>
        <v>52</v>
      </c>
      <c r="J56" s="16">
        <f t="shared" ca="1" si="10"/>
        <v>123.88668048364154</v>
      </c>
      <c r="K56" s="16">
        <f t="shared" ca="1" si="0"/>
        <v>146.11331951635844</v>
      </c>
      <c r="L56" s="16">
        <f t="shared" ca="1" si="1"/>
        <v>123.88668048364156</v>
      </c>
      <c r="M56" s="17">
        <f t="shared" ca="1" si="2"/>
        <v>730.56659758179217</v>
      </c>
      <c r="N56" s="17">
        <f t="shared" si="3"/>
        <v>20</v>
      </c>
      <c r="O56" s="17">
        <f t="shared" si="4"/>
        <v>-810</v>
      </c>
      <c r="P56" s="18">
        <f t="shared" ca="1" si="5"/>
        <v>-61.943340241820778</v>
      </c>
      <c r="Q56" s="18">
        <f t="shared" ca="1" si="6"/>
        <v>185.83002072546233</v>
      </c>
      <c r="R56" s="19">
        <f t="shared" ca="1" si="7"/>
        <v>64.453278065433722</v>
      </c>
      <c r="S56" s="15">
        <f t="shared" ca="1" si="8"/>
        <v>0</v>
      </c>
    </row>
    <row r="57" spans="9:19">
      <c r="I57" s="15">
        <f t="shared" si="9"/>
        <v>53</v>
      </c>
      <c r="J57" s="16">
        <f t="shared" ca="1" si="10"/>
        <v>165.79222177842192</v>
      </c>
      <c r="K57" s="16">
        <f t="shared" ca="1" si="0"/>
        <v>104.20777822157808</v>
      </c>
      <c r="L57" s="16">
        <f t="shared" ca="1" si="1"/>
        <v>165.79222177842192</v>
      </c>
      <c r="M57" s="17">
        <f t="shared" ca="1" si="2"/>
        <v>521.03889110789044</v>
      </c>
      <c r="N57" s="17">
        <f t="shared" si="3"/>
        <v>20</v>
      </c>
      <c r="O57" s="17">
        <f t="shared" si="4"/>
        <v>-810</v>
      </c>
      <c r="P57" s="18">
        <f t="shared" ca="1" si="5"/>
        <v>-82.896110889210959</v>
      </c>
      <c r="Q57" s="18">
        <f t="shared" ca="1" si="6"/>
        <v>248.68833266763289</v>
      </c>
      <c r="R57" s="19">
        <f t="shared" ca="1" si="7"/>
        <v>-103.16888711368762</v>
      </c>
      <c r="S57" s="15">
        <f t="shared" ca="1" si="8"/>
        <v>1</v>
      </c>
    </row>
    <row r="58" spans="9:19">
      <c r="I58" s="15">
        <f t="shared" si="9"/>
        <v>54</v>
      </c>
      <c r="J58" s="16">
        <f t="shared" ca="1" si="10"/>
        <v>344.70720358213714</v>
      </c>
      <c r="K58" s="16">
        <f t="shared" ca="1" si="0"/>
        <v>270</v>
      </c>
      <c r="L58" s="16">
        <f t="shared" ca="1" si="1"/>
        <v>0</v>
      </c>
      <c r="M58" s="17">
        <f t="shared" ca="1" si="2"/>
        <v>1350</v>
      </c>
      <c r="N58" s="17">
        <f t="shared" si="3"/>
        <v>20</v>
      </c>
      <c r="O58" s="17">
        <f t="shared" si="4"/>
        <v>-810</v>
      </c>
      <c r="P58" s="18">
        <f t="shared" ca="1" si="5"/>
        <v>0</v>
      </c>
      <c r="Q58" s="18">
        <f t="shared" ca="1" si="6"/>
        <v>0</v>
      </c>
      <c r="R58" s="19">
        <f t="shared" ca="1" si="7"/>
        <v>560</v>
      </c>
      <c r="S58" s="15">
        <f t="shared" ca="1" si="8"/>
        <v>0</v>
      </c>
    </row>
    <row r="59" spans="9:19">
      <c r="I59" s="15">
        <f t="shared" si="9"/>
        <v>55</v>
      </c>
      <c r="J59" s="16">
        <f t="shared" ca="1" si="10"/>
        <v>248.66167159075607</v>
      </c>
      <c r="K59" s="16">
        <f t="shared" ca="1" si="0"/>
        <v>21.338328409243928</v>
      </c>
      <c r="L59" s="16">
        <f t="shared" ca="1" si="1"/>
        <v>248.66167159075607</v>
      </c>
      <c r="M59" s="17">
        <f t="shared" ca="1" si="2"/>
        <v>106.69164204621964</v>
      </c>
      <c r="N59" s="17">
        <f t="shared" si="3"/>
        <v>20</v>
      </c>
      <c r="O59" s="17">
        <f t="shared" si="4"/>
        <v>-810</v>
      </c>
      <c r="P59" s="18">
        <f t="shared" ca="1" si="5"/>
        <v>-124.33083579537804</v>
      </c>
      <c r="Q59" s="18">
        <f t="shared" ca="1" si="6"/>
        <v>372.99250738613409</v>
      </c>
      <c r="R59" s="19">
        <f t="shared" ca="1" si="7"/>
        <v>-434.64668636302429</v>
      </c>
      <c r="S59" s="15">
        <f t="shared" ca="1" si="8"/>
        <v>1</v>
      </c>
    </row>
    <row r="60" spans="9:19">
      <c r="I60" s="15">
        <f t="shared" si="9"/>
        <v>56</v>
      </c>
      <c r="J60" s="16">
        <f t="shared" ca="1" si="10"/>
        <v>161.57266877677063</v>
      </c>
      <c r="K60" s="16">
        <f t="shared" ca="1" si="0"/>
        <v>108.42733122322937</v>
      </c>
      <c r="L60" s="16">
        <f t="shared" ca="1" si="1"/>
        <v>161.57266877677063</v>
      </c>
      <c r="M60" s="17">
        <f t="shared" ca="1" si="2"/>
        <v>542.13665611614692</v>
      </c>
      <c r="N60" s="17">
        <f t="shared" si="3"/>
        <v>20</v>
      </c>
      <c r="O60" s="17">
        <f t="shared" si="4"/>
        <v>-810</v>
      </c>
      <c r="P60" s="18">
        <f t="shared" ca="1" si="5"/>
        <v>-80.786334388385313</v>
      </c>
      <c r="Q60" s="18">
        <f t="shared" ca="1" si="6"/>
        <v>242.35900316515594</v>
      </c>
      <c r="R60" s="19">
        <f t="shared" ca="1" si="7"/>
        <v>-86.290675107082421</v>
      </c>
      <c r="S60" s="15">
        <f t="shared" ca="1" si="8"/>
        <v>1</v>
      </c>
    </row>
    <row r="61" spans="9:19">
      <c r="I61" s="15">
        <f t="shared" si="9"/>
        <v>57</v>
      </c>
      <c r="J61" s="16">
        <f t="shared" ca="1" si="10"/>
        <v>397.21397473378335</v>
      </c>
      <c r="K61" s="16">
        <f t="shared" ca="1" si="0"/>
        <v>270</v>
      </c>
      <c r="L61" s="16">
        <f t="shared" ca="1" si="1"/>
        <v>0</v>
      </c>
      <c r="M61" s="17">
        <f t="shared" ca="1" si="2"/>
        <v>1350</v>
      </c>
      <c r="N61" s="17">
        <f t="shared" si="3"/>
        <v>20</v>
      </c>
      <c r="O61" s="17">
        <f t="shared" si="4"/>
        <v>-810</v>
      </c>
      <c r="P61" s="18">
        <f t="shared" ca="1" si="5"/>
        <v>0</v>
      </c>
      <c r="Q61" s="18">
        <f t="shared" ca="1" si="6"/>
        <v>0</v>
      </c>
      <c r="R61" s="19">
        <f t="shared" ca="1" si="7"/>
        <v>560</v>
      </c>
      <c r="S61" s="15">
        <f t="shared" ca="1" si="8"/>
        <v>0</v>
      </c>
    </row>
    <row r="62" spans="9:19">
      <c r="I62" s="15">
        <f t="shared" si="9"/>
        <v>58</v>
      </c>
      <c r="J62" s="16">
        <f t="shared" ca="1" si="10"/>
        <v>164.00117250277739</v>
      </c>
      <c r="K62" s="16">
        <f t="shared" ca="1" si="0"/>
        <v>105.99882749722261</v>
      </c>
      <c r="L62" s="16">
        <f t="shared" ca="1" si="1"/>
        <v>164.00117250277739</v>
      </c>
      <c r="M62" s="17">
        <f t="shared" ca="1" si="2"/>
        <v>529.994137486113</v>
      </c>
      <c r="N62" s="17">
        <f t="shared" si="3"/>
        <v>20</v>
      </c>
      <c r="O62" s="17">
        <f t="shared" si="4"/>
        <v>-810</v>
      </c>
      <c r="P62" s="18">
        <f t="shared" ca="1" si="5"/>
        <v>-82.000586251388697</v>
      </c>
      <c r="Q62" s="18">
        <f t="shared" ca="1" si="6"/>
        <v>246.00175875416608</v>
      </c>
      <c r="R62" s="19">
        <f t="shared" ca="1" si="7"/>
        <v>-96.004690011109631</v>
      </c>
      <c r="S62" s="15">
        <f t="shared" ca="1" si="8"/>
        <v>1</v>
      </c>
    </row>
    <row r="63" spans="9:19">
      <c r="I63" s="15">
        <f t="shared" si="9"/>
        <v>59</v>
      </c>
      <c r="J63" s="16">
        <f t="shared" ca="1" si="10"/>
        <v>123.50059796902727</v>
      </c>
      <c r="K63" s="16">
        <f t="shared" ca="1" si="0"/>
        <v>146.49940203097273</v>
      </c>
      <c r="L63" s="16">
        <f t="shared" ca="1" si="1"/>
        <v>123.50059796902727</v>
      </c>
      <c r="M63" s="17">
        <f t="shared" ca="1" si="2"/>
        <v>732.49701015486369</v>
      </c>
      <c r="N63" s="17">
        <f t="shared" si="3"/>
        <v>20</v>
      </c>
      <c r="O63" s="17">
        <f t="shared" si="4"/>
        <v>-810</v>
      </c>
      <c r="P63" s="18">
        <f t="shared" ca="1" si="5"/>
        <v>-61.750298984513634</v>
      </c>
      <c r="Q63" s="18">
        <f t="shared" ca="1" si="6"/>
        <v>185.25089695354092</v>
      </c>
      <c r="R63" s="19">
        <f t="shared" ca="1" si="7"/>
        <v>65.99760812389097</v>
      </c>
      <c r="S63" s="15">
        <f t="shared" ca="1" si="8"/>
        <v>0</v>
      </c>
    </row>
    <row r="64" spans="9:19">
      <c r="I64" s="15">
        <f t="shared" si="9"/>
        <v>60</v>
      </c>
      <c r="J64" s="16">
        <f t="shared" ca="1" si="10"/>
        <v>196.59260894870425</v>
      </c>
      <c r="K64" s="16">
        <f t="shared" ca="1" si="0"/>
        <v>73.407391051295747</v>
      </c>
      <c r="L64" s="16">
        <f t="shared" ca="1" si="1"/>
        <v>196.59260894870425</v>
      </c>
      <c r="M64" s="17">
        <f t="shared" ca="1" si="2"/>
        <v>367.03695525647873</v>
      </c>
      <c r="N64" s="17">
        <f t="shared" si="3"/>
        <v>20</v>
      </c>
      <c r="O64" s="17">
        <f t="shared" si="4"/>
        <v>-810</v>
      </c>
      <c r="P64" s="18">
        <f t="shared" ca="1" si="5"/>
        <v>-98.296304474352127</v>
      </c>
      <c r="Q64" s="18">
        <f t="shared" ca="1" si="6"/>
        <v>294.88891342305635</v>
      </c>
      <c r="R64" s="19">
        <f t="shared" ca="1" si="7"/>
        <v>-226.37043579481701</v>
      </c>
      <c r="S64" s="15">
        <f t="shared" ca="1" si="8"/>
        <v>1</v>
      </c>
    </row>
    <row r="65" spans="9:19">
      <c r="I65" s="15">
        <f t="shared" si="9"/>
        <v>61</v>
      </c>
      <c r="J65" s="16">
        <f t="shared" ca="1" si="10"/>
        <v>372.11510762497267</v>
      </c>
      <c r="K65" s="16">
        <f t="shared" ca="1" si="0"/>
        <v>270</v>
      </c>
      <c r="L65" s="16">
        <f t="shared" ca="1" si="1"/>
        <v>0</v>
      </c>
      <c r="M65" s="17">
        <f t="shared" ca="1" si="2"/>
        <v>1350</v>
      </c>
      <c r="N65" s="17">
        <f t="shared" si="3"/>
        <v>20</v>
      </c>
      <c r="O65" s="17">
        <f t="shared" si="4"/>
        <v>-810</v>
      </c>
      <c r="P65" s="18">
        <f t="shared" ca="1" si="5"/>
        <v>0</v>
      </c>
      <c r="Q65" s="18">
        <f t="shared" ca="1" si="6"/>
        <v>0</v>
      </c>
      <c r="R65" s="19">
        <f t="shared" ca="1" si="7"/>
        <v>560</v>
      </c>
      <c r="S65" s="15">
        <f t="shared" ca="1" si="8"/>
        <v>0</v>
      </c>
    </row>
    <row r="66" spans="9:19">
      <c r="I66" s="15">
        <f t="shared" si="9"/>
        <v>62</v>
      </c>
      <c r="J66" s="16">
        <f t="shared" ca="1" si="10"/>
        <v>347.53684890154568</v>
      </c>
      <c r="K66" s="16">
        <f t="shared" ca="1" si="0"/>
        <v>270</v>
      </c>
      <c r="L66" s="16">
        <f t="shared" ca="1" si="1"/>
        <v>0</v>
      </c>
      <c r="M66" s="17">
        <f t="shared" ca="1" si="2"/>
        <v>1350</v>
      </c>
      <c r="N66" s="17">
        <f t="shared" si="3"/>
        <v>20</v>
      </c>
      <c r="O66" s="17">
        <f t="shared" si="4"/>
        <v>-810</v>
      </c>
      <c r="P66" s="18">
        <f t="shared" ca="1" si="5"/>
        <v>0</v>
      </c>
      <c r="Q66" s="18">
        <f t="shared" ca="1" si="6"/>
        <v>0</v>
      </c>
      <c r="R66" s="19">
        <f t="shared" ca="1" si="7"/>
        <v>560</v>
      </c>
      <c r="S66" s="15">
        <f t="shared" ca="1" si="8"/>
        <v>0</v>
      </c>
    </row>
    <row r="67" spans="9:19">
      <c r="I67" s="15">
        <f t="shared" si="9"/>
        <v>63</v>
      </c>
      <c r="J67" s="16">
        <f t="shared" ca="1" si="10"/>
        <v>150.24088388183037</v>
      </c>
      <c r="K67" s="16">
        <f t="shared" ca="1" si="0"/>
        <v>119.75911611816963</v>
      </c>
      <c r="L67" s="16">
        <f t="shared" ca="1" si="1"/>
        <v>150.24088388183037</v>
      </c>
      <c r="M67" s="17">
        <f t="shared" ca="1" si="2"/>
        <v>598.7955805908482</v>
      </c>
      <c r="N67" s="17">
        <f t="shared" si="3"/>
        <v>20</v>
      </c>
      <c r="O67" s="17">
        <f t="shared" si="4"/>
        <v>-810</v>
      </c>
      <c r="P67" s="18">
        <f t="shared" ca="1" si="5"/>
        <v>-75.120441940915185</v>
      </c>
      <c r="Q67" s="18">
        <f t="shared" ca="1" si="6"/>
        <v>225.36132582274556</v>
      </c>
      <c r="R67" s="19">
        <f t="shared" ca="1" si="7"/>
        <v>-40.963535527321397</v>
      </c>
      <c r="S67" s="15">
        <f t="shared" ca="1" si="8"/>
        <v>1</v>
      </c>
    </row>
    <row r="68" spans="9:19">
      <c r="I68" s="15">
        <f t="shared" si="9"/>
        <v>64</v>
      </c>
      <c r="J68" s="16">
        <f t="shared" ca="1" si="10"/>
        <v>260.72971028001945</v>
      </c>
      <c r="K68" s="16">
        <f t="shared" ca="1" si="0"/>
        <v>9.2702897199805534</v>
      </c>
      <c r="L68" s="16">
        <f t="shared" ca="1" si="1"/>
        <v>260.72971028001945</v>
      </c>
      <c r="M68" s="17">
        <f t="shared" ca="1" si="2"/>
        <v>46.351448599902767</v>
      </c>
      <c r="N68" s="17">
        <f t="shared" si="3"/>
        <v>20</v>
      </c>
      <c r="O68" s="17">
        <f t="shared" si="4"/>
        <v>-810</v>
      </c>
      <c r="P68" s="18">
        <f t="shared" ca="1" si="5"/>
        <v>-130.36485514000972</v>
      </c>
      <c r="Q68" s="18">
        <f t="shared" ca="1" si="6"/>
        <v>391.0945654200292</v>
      </c>
      <c r="R68" s="19">
        <f t="shared" ca="1" si="7"/>
        <v>-482.91884112007767</v>
      </c>
      <c r="S68" s="15">
        <f t="shared" ca="1" si="8"/>
        <v>1</v>
      </c>
    </row>
    <row r="69" spans="9:19">
      <c r="I69" s="15">
        <f t="shared" si="9"/>
        <v>65</v>
      </c>
      <c r="J69" s="16">
        <f t="shared" ca="1" si="10"/>
        <v>318.02894703803685</v>
      </c>
      <c r="K69" s="16">
        <f t="shared" ca="1" si="0"/>
        <v>270</v>
      </c>
      <c r="L69" s="16">
        <f t="shared" ca="1" si="1"/>
        <v>0</v>
      </c>
      <c r="M69" s="17">
        <f t="shared" ca="1" si="2"/>
        <v>1350</v>
      </c>
      <c r="N69" s="17">
        <f t="shared" si="3"/>
        <v>20</v>
      </c>
      <c r="O69" s="17">
        <f t="shared" si="4"/>
        <v>-810</v>
      </c>
      <c r="P69" s="18">
        <f t="shared" ca="1" si="5"/>
        <v>0</v>
      </c>
      <c r="Q69" s="18">
        <f t="shared" ca="1" si="6"/>
        <v>0</v>
      </c>
      <c r="R69" s="19">
        <f t="shared" ca="1" si="7"/>
        <v>560</v>
      </c>
      <c r="S69" s="15">
        <f t="shared" ca="1" si="8"/>
        <v>0</v>
      </c>
    </row>
    <row r="70" spans="9:19">
      <c r="I70" s="15">
        <f t="shared" si="9"/>
        <v>66</v>
      </c>
      <c r="J70" s="16">
        <f t="shared" ca="1" si="10"/>
        <v>379.79143863433029</v>
      </c>
      <c r="K70" s="16">
        <f t="shared" ref="K70:K133" ca="1" si="11">IF(J70&gt;=$D$18,$D$18,$D$18-J70)</f>
        <v>270</v>
      </c>
      <c r="L70" s="16">
        <f t="shared" ref="L70:L133" ca="1" si="12">$D$18-K70</f>
        <v>0</v>
      </c>
      <c r="M70" s="17">
        <f t="shared" ref="M70:M133" ca="1" si="13">K70*5</f>
        <v>1350</v>
      </c>
      <c r="N70" s="17">
        <f t="shared" ref="N70:N133" si="14">$D$10</f>
        <v>20</v>
      </c>
      <c r="O70" s="17">
        <f t="shared" ref="O70:O133" si="15">-$D$6*$D$18</f>
        <v>-810</v>
      </c>
      <c r="P70" s="18">
        <f t="shared" ref="P70:P133" ca="1" si="16">-L70*$D$9</f>
        <v>0</v>
      </c>
      <c r="Q70" s="18">
        <f t="shared" ref="Q70:Q133" ca="1" si="17">L70*($D$6*$D$8)</f>
        <v>0</v>
      </c>
      <c r="R70" s="19">
        <f t="shared" ref="R70:R133" ca="1" si="18">SUM(M70:Q70)</f>
        <v>560</v>
      </c>
      <c r="S70" s="15">
        <f t="shared" ref="S70:S133" ca="1" si="19">IF(R70&lt;0,1,0)</f>
        <v>0</v>
      </c>
    </row>
    <row r="71" spans="9:19">
      <c r="I71" s="15">
        <f t="shared" ref="I71:I134" si="20">I70+1</f>
        <v>67</v>
      </c>
      <c r="J71" s="16">
        <f t="shared" ref="J71:J134" ca="1" si="21">RAND()*($E$3-$D$3)+$D$3</f>
        <v>144.74628644209528</v>
      </c>
      <c r="K71" s="16">
        <f t="shared" ca="1" si="11"/>
        <v>125.25371355790472</v>
      </c>
      <c r="L71" s="16">
        <f t="shared" ca="1" si="12"/>
        <v>144.74628644209528</v>
      </c>
      <c r="M71" s="17">
        <f t="shared" ca="1" si="13"/>
        <v>626.26856778952356</v>
      </c>
      <c r="N71" s="17">
        <f t="shared" si="14"/>
        <v>20</v>
      </c>
      <c r="O71" s="17">
        <f t="shared" si="15"/>
        <v>-810</v>
      </c>
      <c r="P71" s="18">
        <f t="shared" ca="1" si="16"/>
        <v>-72.373143221047641</v>
      </c>
      <c r="Q71" s="18">
        <f t="shared" ca="1" si="17"/>
        <v>217.11942966314291</v>
      </c>
      <c r="R71" s="19">
        <f t="shared" ca="1" si="18"/>
        <v>-18.985145768381187</v>
      </c>
      <c r="S71" s="15">
        <f t="shared" ca="1" si="19"/>
        <v>1</v>
      </c>
    </row>
    <row r="72" spans="9:19">
      <c r="I72" s="15">
        <f t="shared" si="20"/>
        <v>68</v>
      </c>
      <c r="J72" s="16">
        <f t="shared" ca="1" si="21"/>
        <v>263.94006693480446</v>
      </c>
      <c r="K72" s="16">
        <f t="shared" ca="1" si="11"/>
        <v>6.059933065195537</v>
      </c>
      <c r="L72" s="16">
        <f t="shared" ca="1" si="12"/>
        <v>263.94006693480446</v>
      </c>
      <c r="M72" s="17">
        <f t="shared" ca="1" si="13"/>
        <v>30.299665325977685</v>
      </c>
      <c r="N72" s="17">
        <f t="shared" si="14"/>
        <v>20</v>
      </c>
      <c r="O72" s="17">
        <f t="shared" si="15"/>
        <v>-810</v>
      </c>
      <c r="P72" s="18">
        <f t="shared" ca="1" si="16"/>
        <v>-131.97003346740223</v>
      </c>
      <c r="Q72" s="18">
        <f t="shared" ca="1" si="17"/>
        <v>395.91010040220669</v>
      </c>
      <c r="R72" s="19">
        <f t="shared" ca="1" si="18"/>
        <v>-495.76026773921785</v>
      </c>
      <c r="S72" s="15">
        <f t="shared" ca="1" si="19"/>
        <v>1</v>
      </c>
    </row>
    <row r="73" spans="9:19">
      <c r="I73" s="15">
        <f t="shared" si="20"/>
        <v>69</v>
      </c>
      <c r="J73" s="16">
        <f t="shared" ca="1" si="21"/>
        <v>129.43904429832133</v>
      </c>
      <c r="K73" s="16">
        <f t="shared" ca="1" si="11"/>
        <v>140.56095570167867</v>
      </c>
      <c r="L73" s="16">
        <f t="shared" ca="1" si="12"/>
        <v>129.43904429832133</v>
      </c>
      <c r="M73" s="17">
        <f t="shared" ca="1" si="13"/>
        <v>702.80477850839338</v>
      </c>
      <c r="N73" s="17">
        <f t="shared" si="14"/>
        <v>20</v>
      </c>
      <c r="O73" s="17">
        <f t="shared" si="15"/>
        <v>-810</v>
      </c>
      <c r="P73" s="18">
        <f t="shared" ca="1" si="16"/>
        <v>-64.719522149160667</v>
      </c>
      <c r="Q73" s="18">
        <f t="shared" ca="1" si="17"/>
        <v>194.158566447482</v>
      </c>
      <c r="R73" s="19">
        <f t="shared" ca="1" si="18"/>
        <v>42.243822806714718</v>
      </c>
      <c r="S73" s="15">
        <f t="shared" ca="1" si="19"/>
        <v>0</v>
      </c>
    </row>
    <row r="74" spans="9:19">
      <c r="I74" s="15">
        <f t="shared" si="20"/>
        <v>70</v>
      </c>
      <c r="J74" s="16">
        <f t="shared" ca="1" si="21"/>
        <v>307.11007995349632</v>
      </c>
      <c r="K74" s="16">
        <f t="shared" ca="1" si="11"/>
        <v>270</v>
      </c>
      <c r="L74" s="16">
        <f t="shared" ca="1" si="12"/>
        <v>0</v>
      </c>
      <c r="M74" s="17">
        <f t="shared" ca="1" si="13"/>
        <v>1350</v>
      </c>
      <c r="N74" s="17">
        <f t="shared" si="14"/>
        <v>20</v>
      </c>
      <c r="O74" s="17">
        <f t="shared" si="15"/>
        <v>-810</v>
      </c>
      <c r="P74" s="18">
        <f t="shared" ca="1" si="16"/>
        <v>0</v>
      </c>
      <c r="Q74" s="18">
        <f t="shared" ca="1" si="17"/>
        <v>0</v>
      </c>
      <c r="R74" s="19">
        <f t="shared" ca="1" si="18"/>
        <v>560</v>
      </c>
      <c r="S74" s="15">
        <f t="shared" ca="1" si="19"/>
        <v>0</v>
      </c>
    </row>
    <row r="75" spans="9:19">
      <c r="I75" s="15">
        <f t="shared" si="20"/>
        <v>71</v>
      </c>
      <c r="J75" s="16">
        <f t="shared" ca="1" si="21"/>
        <v>364.76956773969158</v>
      </c>
      <c r="K75" s="16">
        <f t="shared" ca="1" si="11"/>
        <v>270</v>
      </c>
      <c r="L75" s="16">
        <f t="shared" ca="1" si="12"/>
        <v>0</v>
      </c>
      <c r="M75" s="17">
        <f t="shared" ca="1" si="13"/>
        <v>1350</v>
      </c>
      <c r="N75" s="17">
        <f t="shared" si="14"/>
        <v>20</v>
      </c>
      <c r="O75" s="17">
        <f t="shared" si="15"/>
        <v>-810</v>
      </c>
      <c r="P75" s="18">
        <f t="shared" ca="1" si="16"/>
        <v>0</v>
      </c>
      <c r="Q75" s="18">
        <f t="shared" ca="1" si="17"/>
        <v>0</v>
      </c>
      <c r="R75" s="19">
        <f t="shared" ca="1" si="18"/>
        <v>560</v>
      </c>
      <c r="S75" s="15">
        <f t="shared" ca="1" si="19"/>
        <v>0</v>
      </c>
    </row>
    <row r="76" spans="9:19">
      <c r="I76" s="15">
        <f t="shared" si="20"/>
        <v>72</v>
      </c>
      <c r="J76" s="16">
        <f t="shared" ca="1" si="21"/>
        <v>252.26854174653158</v>
      </c>
      <c r="K76" s="16">
        <f t="shared" ca="1" si="11"/>
        <v>17.731458253468418</v>
      </c>
      <c r="L76" s="16">
        <f t="shared" ca="1" si="12"/>
        <v>252.26854174653158</v>
      </c>
      <c r="M76" s="17">
        <f t="shared" ca="1" si="13"/>
        <v>88.657291267342089</v>
      </c>
      <c r="N76" s="17">
        <f t="shared" si="14"/>
        <v>20</v>
      </c>
      <c r="O76" s="17">
        <f t="shared" si="15"/>
        <v>-810</v>
      </c>
      <c r="P76" s="18">
        <f t="shared" ca="1" si="16"/>
        <v>-126.13427087326579</v>
      </c>
      <c r="Q76" s="18">
        <f t="shared" ca="1" si="17"/>
        <v>378.40281261979737</v>
      </c>
      <c r="R76" s="19">
        <f t="shared" ca="1" si="18"/>
        <v>-449.07416698612633</v>
      </c>
      <c r="S76" s="15">
        <f t="shared" ca="1" si="19"/>
        <v>1</v>
      </c>
    </row>
    <row r="77" spans="9:19">
      <c r="I77" s="15">
        <f t="shared" si="20"/>
        <v>73</v>
      </c>
      <c r="J77" s="16">
        <f t="shared" ca="1" si="21"/>
        <v>272.80381804364265</v>
      </c>
      <c r="K77" s="16">
        <f t="shared" ca="1" si="11"/>
        <v>270</v>
      </c>
      <c r="L77" s="16">
        <f t="shared" ca="1" si="12"/>
        <v>0</v>
      </c>
      <c r="M77" s="17">
        <f t="shared" ca="1" si="13"/>
        <v>1350</v>
      </c>
      <c r="N77" s="17">
        <f t="shared" si="14"/>
        <v>20</v>
      </c>
      <c r="O77" s="17">
        <f t="shared" si="15"/>
        <v>-810</v>
      </c>
      <c r="P77" s="18">
        <f t="shared" ca="1" si="16"/>
        <v>0</v>
      </c>
      <c r="Q77" s="18">
        <f t="shared" ca="1" si="17"/>
        <v>0</v>
      </c>
      <c r="R77" s="19">
        <f t="shared" ca="1" si="18"/>
        <v>560</v>
      </c>
      <c r="S77" s="15">
        <f t="shared" ca="1" si="19"/>
        <v>0</v>
      </c>
    </row>
    <row r="78" spans="9:19">
      <c r="I78" s="15">
        <f t="shared" si="20"/>
        <v>74</v>
      </c>
      <c r="J78" s="16">
        <f t="shared" ca="1" si="21"/>
        <v>333.95300854313371</v>
      </c>
      <c r="K78" s="16">
        <f t="shared" ca="1" si="11"/>
        <v>270</v>
      </c>
      <c r="L78" s="16">
        <f t="shared" ca="1" si="12"/>
        <v>0</v>
      </c>
      <c r="M78" s="17">
        <f t="shared" ca="1" si="13"/>
        <v>1350</v>
      </c>
      <c r="N78" s="17">
        <f t="shared" si="14"/>
        <v>20</v>
      </c>
      <c r="O78" s="17">
        <f t="shared" si="15"/>
        <v>-810</v>
      </c>
      <c r="P78" s="18">
        <f t="shared" ca="1" si="16"/>
        <v>0</v>
      </c>
      <c r="Q78" s="18">
        <f t="shared" ca="1" si="17"/>
        <v>0</v>
      </c>
      <c r="R78" s="19">
        <f t="shared" ca="1" si="18"/>
        <v>560</v>
      </c>
      <c r="S78" s="15">
        <f t="shared" ca="1" si="19"/>
        <v>0</v>
      </c>
    </row>
    <row r="79" spans="9:19">
      <c r="I79" s="15">
        <f t="shared" si="20"/>
        <v>75</v>
      </c>
      <c r="J79" s="16">
        <f t="shared" ca="1" si="21"/>
        <v>218.20372681356434</v>
      </c>
      <c r="K79" s="16">
        <f t="shared" ca="1" si="11"/>
        <v>51.796273186435656</v>
      </c>
      <c r="L79" s="16">
        <f t="shared" ca="1" si="12"/>
        <v>218.20372681356434</v>
      </c>
      <c r="M79" s="17">
        <f t="shared" ca="1" si="13"/>
        <v>258.98136593217828</v>
      </c>
      <c r="N79" s="17">
        <f t="shared" si="14"/>
        <v>20</v>
      </c>
      <c r="O79" s="17">
        <f t="shared" si="15"/>
        <v>-810</v>
      </c>
      <c r="P79" s="18">
        <f t="shared" ca="1" si="16"/>
        <v>-109.10186340678217</v>
      </c>
      <c r="Q79" s="18">
        <f t="shared" ca="1" si="17"/>
        <v>327.30559022034652</v>
      </c>
      <c r="R79" s="19">
        <f t="shared" ca="1" si="18"/>
        <v>-312.81490725425738</v>
      </c>
      <c r="S79" s="15">
        <f t="shared" ca="1" si="19"/>
        <v>1</v>
      </c>
    </row>
    <row r="80" spans="9:19">
      <c r="I80" s="15">
        <f t="shared" si="20"/>
        <v>76</v>
      </c>
      <c r="J80" s="16">
        <f t="shared" ca="1" si="21"/>
        <v>318.10128390763657</v>
      </c>
      <c r="K80" s="16">
        <f t="shared" ca="1" si="11"/>
        <v>270</v>
      </c>
      <c r="L80" s="16">
        <f t="shared" ca="1" si="12"/>
        <v>0</v>
      </c>
      <c r="M80" s="17">
        <f t="shared" ca="1" si="13"/>
        <v>1350</v>
      </c>
      <c r="N80" s="17">
        <f t="shared" si="14"/>
        <v>20</v>
      </c>
      <c r="O80" s="17">
        <f t="shared" si="15"/>
        <v>-810</v>
      </c>
      <c r="P80" s="18">
        <f t="shared" ca="1" si="16"/>
        <v>0</v>
      </c>
      <c r="Q80" s="18">
        <f t="shared" ca="1" si="17"/>
        <v>0</v>
      </c>
      <c r="R80" s="19">
        <f t="shared" ca="1" si="18"/>
        <v>560</v>
      </c>
      <c r="S80" s="15">
        <f t="shared" ca="1" si="19"/>
        <v>0</v>
      </c>
    </row>
    <row r="81" spans="9:19">
      <c r="I81" s="15">
        <f t="shared" si="20"/>
        <v>77</v>
      </c>
      <c r="J81" s="16">
        <f t="shared" ca="1" si="21"/>
        <v>267.69857782201922</v>
      </c>
      <c r="K81" s="16">
        <f t="shared" ca="1" si="11"/>
        <v>2.3014221779807826</v>
      </c>
      <c r="L81" s="16">
        <f t="shared" ca="1" si="12"/>
        <v>267.69857782201922</v>
      </c>
      <c r="M81" s="17">
        <f t="shared" ca="1" si="13"/>
        <v>11.507110889903913</v>
      </c>
      <c r="N81" s="17">
        <f t="shared" si="14"/>
        <v>20</v>
      </c>
      <c r="O81" s="17">
        <f t="shared" si="15"/>
        <v>-810</v>
      </c>
      <c r="P81" s="18">
        <f t="shared" ca="1" si="16"/>
        <v>-133.84928891100961</v>
      </c>
      <c r="Q81" s="18">
        <f t="shared" ca="1" si="17"/>
        <v>401.54786673302885</v>
      </c>
      <c r="R81" s="19">
        <f t="shared" ca="1" si="18"/>
        <v>-510.79431128807676</v>
      </c>
      <c r="S81" s="15">
        <f t="shared" ca="1" si="19"/>
        <v>1</v>
      </c>
    </row>
    <row r="82" spans="9:19">
      <c r="I82" s="15">
        <f t="shared" si="20"/>
        <v>78</v>
      </c>
      <c r="J82" s="16">
        <f t="shared" ca="1" si="21"/>
        <v>167.01542657851934</v>
      </c>
      <c r="K82" s="16">
        <f t="shared" ca="1" si="11"/>
        <v>102.98457342148066</v>
      </c>
      <c r="L82" s="16">
        <f t="shared" ca="1" si="12"/>
        <v>167.01542657851934</v>
      </c>
      <c r="M82" s="17">
        <f t="shared" ca="1" si="13"/>
        <v>514.92286710740336</v>
      </c>
      <c r="N82" s="17">
        <f t="shared" si="14"/>
        <v>20</v>
      </c>
      <c r="O82" s="17">
        <f t="shared" si="15"/>
        <v>-810</v>
      </c>
      <c r="P82" s="18">
        <f t="shared" ca="1" si="16"/>
        <v>-83.507713289259669</v>
      </c>
      <c r="Q82" s="18">
        <f t="shared" ca="1" si="17"/>
        <v>250.52313986777901</v>
      </c>
      <c r="R82" s="19">
        <f t="shared" ca="1" si="18"/>
        <v>-108.06170631407727</v>
      </c>
      <c r="S82" s="15">
        <f t="shared" ca="1" si="19"/>
        <v>1</v>
      </c>
    </row>
    <row r="83" spans="9:19">
      <c r="I83" s="15">
        <f t="shared" si="20"/>
        <v>79</v>
      </c>
      <c r="J83" s="16">
        <f t="shared" ca="1" si="21"/>
        <v>180.88762667888176</v>
      </c>
      <c r="K83" s="16">
        <f t="shared" ca="1" si="11"/>
        <v>89.112373321118241</v>
      </c>
      <c r="L83" s="16">
        <f t="shared" ca="1" si="12"/>
        <v>180.88762667888176</v>
      </c>
      <c r="M83" s="17">
        <f t="shared" ca="1" si="13"/>
        <v>445.56186660559121</v>
      </c>
      <c r="N83" s="17">
        <f t="shared" si="14"/>
        <v>20</v>
      </c>
      <c r="O83" s="17">
        <f t="shared" si="15"/>
        <v>-810</v>
      </c>
      <c r="P83" s="18">
        <f t="shared" ca="1" si="16"/>
        <v>-90.443813339440879</v>
      </c>
      <c r="Q83" s="18">
        <f t="shared" ca="1" si="17"/>
        <v>271.33144001832261</v>
      </c>
      <c r="R83" s="19">
        <f t="shared" ca="1" si="18"/>
        <v>-163.55050671552704</v>
      </c>
      <c r="S83" s="15">
        <f t="shared" ca="1" si="19"/>
        <v>1</v>
      </c>
    </row>
    <row r="84" spans="9:19">
      <c r="I84" s="15">
        <f t="shared" si="20"/>
        <v>80</v>
      </c>
      <c r="J84" s="16">
        <f t="shared" ca="1" si="21"/>
        <v>371.49488778684338</v>
      </c>
      <c r="K84" s="16">
        <f t="shared" ca="1" si="11"/>
        <v>270</v>
      </c>
      <c r="L84" s="16">
        <f t="shared" ca="1" si="12"/>
        <v>0</v>
      </c>
      <c r="M84" s="17">
        <f t="shared" ca="1" si="13"/>
        <v>1350</v>
      </c>
      <c r="N84" s="17">
        <f t="shared" si="14"/>
        <v>20</v>
      </c>
      <c r="O84" s="17">
        <f t="shared" si="15"/>
        <v>-810</v>
      </c>
      <c r="P84" s="18">
        <f t="shared" ca="1" si="16"/>
        <v>0</v>
      </c>
      <c r="Q84" s="18">
        <f t="shared" ca="1" si="17"/>
        <v>0</v>
      </c>
      <c r="R84" s="19">
        <f t="shared" ca="1" si="18"/>
        <v>560</v>
      </c>
      <c r="S84" s="15">
        <f t="shared" ca="1" si="19"/>
        <v>0</v>
      </c>
    </row>
    <row r="85" spans="9:19">
      <c r="I85" s="15">
        <f t="shared" si="20"/>
        <v>81</v>
      </c>
      <c r="J85" s="16">
        <f t="shared" ca="1" si="21"/>
        <v>204.43012505336335</v>
      </c>
      <c r="K85" s="16">
        <f t="shared" ca="1" si="11"/>
        <v>65.569874946636645</v>
      </c>
      <c r="L85" s="16">
        <f t="shared" ca="1" si="12"/>
        <v>204.43012505336335</v>
      </c>
      <c r="M85" s="17">
        <f t="shared" ca="1" si="13"/>
        <v>327.84937473318325</v>
      </c>
      <c r="N85" s="17">
        <f t="shared" si="14"/>
        <v>20</v>
      </c>
      <c r="O85" s="17">
        <f t="shared" si="15"/>
        <v>-810</v>
      </c>
      <c r="P85" s="18">
        <f t="shared" ca="1" si="16"/>
        <v>-102.21506252668168</v>
      </c>
      <c r="Q85" s="18">
        <f t="shared" ca="1" si="17"/>
        <v>306.64518758004505</v>
      </c>
      <c r="R85" s="19">
        <f t="shared" ca="1" si="18"/>
        <v>-257.72050021345336</v>
      </c>
      <c r="S85" s="15">
        <f t="shared" ca="1" si="19"/>
        <v>1</v>
      </c>
    </row>
    <row r="86" spans="9:19">
      <c r="I86" s="15">
        <f t="shared" si="20"/>
        <v>82</v>
      </c>
      <c r="J86" s="16">
        <f t="shared" ca="1" si="21"/>
        <v>131.45495992770449</v>
      </c>
      <c r="K86" s="16">
        <f t="shared" ca="1" si="11"/>
        <v>138.54504007229551</v>
      </c>
      <c r="L86" s="16">
        <f t="shared" ca="1" si="12"/>
        <v>131.45495992770449</v>
      </c>
      <c r="M86" s="17">
        <f t="shared" ca="1" si="13"/>
        <v>692.7252003614775</v>
      </c>
      <c r="N86" s="17">
        <f t="shared" si="14"/>
        <v>20</v>
      </c>
      <c r="O86" s="17">
        <f t="shared" si="15"/>
        <v>-810</v>
      </c>
      <c r="P86" s="18">
        <f t="shared" ca="1" si="16"/>
        <v>-65.727479963852247</v>
      </c>
      <c r="Q86" s="18">
        <f t="shared" ca="1" si="17"/>
        <v>197.18243989155673</v>
      </c>
      <c r="R86" s="19">
        <f t="shared" ca="1" si="18"/>
        <v>34.18016028918197</v>
      </c>
      <c r="S86" s="15">
        <f t="shared" ca="1" si="19"/>
        <v>0</v>
      </c>
    </row>
    <row r="87" spans="9:19">
      <c r="I87" s="15">
        <f t="shared" si="20"/>
        <v>83</v>
      </c>
      <c r="J87" s="16">
        <f t="shared" ca="1" si="21"/>
        <v>264.68340991445996</v>
      </c>
      <c r="K87" s="16">
        <f t="shared" ca="1" si="11"/>
        <v>5.3165900855400423</v>
      </c>
      <c r="L87" s="16">
        <f t="shared" ca="1" si="12"/>
        <v>264.68340991445996</v>
      </c>
      <c r="M87" s="17">
        <f t="shared" ca="1" si="13"/>
        <v>26.582950427700212</v>
      </c>
      <c r="N87" s="17">
        <f t="shared" si="14"/>
        <v>20</v>
      </c>
      <c r="O87" s="17">
        <f t="shared" si="15"/>
        <v>-810</v>
      </c>
      <c r="P87" s="18">
        <f t="shared" ca="1" si="16"/>
        <v>-132.34170495722998</v>
      </c>
      <c r="Q87" s="18">
        <f t="shared" ca="1" si="17"/>
        <v>397.02511487168994</v>
      </c>
      <c r="R87" s="19">
        <f t="shared" ca="1" si="18"/>
        <v>-498.73363965783989</v>
      </c>
      <c r="S87" s="15">
        <f t="shared" ca="1" si="19"/>
        <v>1</v>
      </c>
    </row>
    <row r="88" spans="9:19">
      <c r="I88" s="15">
        <f t="shared" si="20"/>
        <v>84</v>
      </c>
      <c r="J88" s="16">
        <f t="shared" ca="1" si="21"/>
        <v>214.66940371264286</v>
      </c>
      <c r="K88" s="16">
        <f t="shared" ca="1" si="11"/>
        <v>55.330596287357139</v>
      </c>
      <c r="L88" s="16">
        <f t="shared" ca="1" si="12"/>
        <v>214.66940371264286</v>
      </c>
      <c r="M88" s="17">
        <f t="shared" ca="1" si="13"/>
        <v>276.65298143678569</v>
      </c>
      <c r="N88" s="17">
        <f t="shared" si="14"/>
        <v>20</v>
      </c>
      <c r="O88" s="17">
        <f t="shared" si="15"/>
        <v>-810</v>
      </c>
      <c r="P88" s="18">
        <f t="shared" ca="1" si="16"/>
        <v>-107.33470185632143</v>
      </c>
      <c r="Q88" s="18">
        <f t="shared" ca="1" si="17"/>
        <v>322.00410556896429</v>
      </c>
      <c r="R88" s="19">
        <f t="shared" ca="1" si="18"/>
        <v>-298.67761485057144</v>
      </c>
      <c r="S88" s="15">
        <f t="shared" ca="1" si="19"/>
        <v>1</v>
      </c>
    </row>
    <row r="89" spans="9:19">
      <c r="I89" s="15">
        <f t="shared" si="20"/>
        <v>85</v>
      </c>
      <c r="J89" s="16">
        <f t="shared" ca="1" si="21"/>
        <v>270.31870498202909</v>
      </c>
      <c r="K89" s="16">
        <f t="shared" ca="1" si="11"/>
        <v>270</v>
      </c>
      <c r="L89" s="16">
        <f t="shared" ca="1" si="12"/>
        <v>0</v>
      </c>
      <c r="M89" s="17">
        <f t="shared" ca="1" si="13"/>
        <v>1350</v>
      </c>
      <c r="N89" s="17">
        <f t="shared" si="14"/>
        <v>20</v>
      </c>
      <c r="O89" s="17">
        <f t="shared" si="15"/>
        <v>-810</v>
      </c>
      <c r="P89" s="18">
        <f t="shared" ca="1" si="16"/>
        <v>0</v>
      </c>
      <c r="Q89" s="18">
        <f t="shared" ca="1" si="17"/>
        <v>0</v>
      </c>
      <c r="R89" s="19">
        <f t="shared" ca="1" si="18"/>
        <v>560</v>
      </c>
      <c r="S89" s="15">
        <f t="shared" ca="1" si="19"/>
        <v>0</v>
      </c>
    </row>
    <row r="90" spans="9:19">
      <c r="I90" s="15">
        <f t="shared" si="20"/>
        <v>86</v>
      </c>
      <c r="J90" s="16">
        <f t="shared" ca="1" si="21"/>
        <v>215.47927023054331</v>
      </c>
      <c r="K90" s="16">
        <f t="shared" ca="1" si="11"/>
        <v>54.520729769456693</v>
      </c>
      <c r="L90" s="16">
        <f t="shared" ca="1" si="12"/>
        <v>215.47927023054331</v>
      </c>
      <c r="M90" s="17">
        <f t="shared" ca="1" si="13"/>
        <v>272.60364884728347</v>
      </c>
      <c r="N90" s="17">
        <f t="shared" si="14"/>
        <v>20</v>
      </c>
      <c r="O90" s="17">
        <f t="shared" si="15"/>
        <v>-810</v>
      </c>
      <c r="P90" s="18">
        <f t="shared" ca="1" si="16"/>
        <v>-107.73963511527165</v>
      </c>
      <c r="Q90" s="18">
        <f t="shared" ca="1" si="17"/>
        <v>323.21890534581496</v>
      </c>
      <c r="R90" s="19">
        <f t="shared" ca="1" si="18"/>
        <v>-301.91708092217323</v>
      </c>
      <c r="S90" s="15">
        <f t="shared" ca="1" si="19"/>
        <v>1</v>
      </c>
    </row>
    <row r="91" spans="9:19">
      <c r="I91" s="15">
        <f t="shared" si="20"/>
        <v>87</v>
      </c>
      <c r="J91" s="16">
        <f t="shared" ca="1" si="21"/>
        <v>231.38055553884246</v>
      </c>
      <c r="K91" s="16">
        <f t="shared" ca="1" si="11"/>
        <v>38.619444461157542</v>
      </c>
      <c r="L91" s="16">
        <f t="shared" ca="1" si="12"/>
        <v>231.38055553884246</v>
      </c>
      <c r="M91" s="17">
        <f t="shared" ca="1" si="13"/>
        <v>193.09722230578771</v>
      </c>
      <c r="N91" s="17">
        <f t="shared" si="14"/>
        <v>20</v>
      </c>
      <c r="O91" s="17">
        <f t="shared" si="15"/>
        <v>-810</v>
      </c>
      <c r="P91" s="18">
        <f t="shared" ca="1" si="16"/>
        <v>-115.69027776942123</v>
      </c>
      <c r="Q91" s="18">
        <f t="shared" ca="1" si="17"/>
        <v>347.07083330826367</v>
      </c>
      <c r="R91" s="19">
        <f t="shared" ca="1" si="18"/>
        <v>-365.52222215536983</v>
      </c>
      <c r="S91" s="15">
        <f t="shared" ca="1" si="19"/>
        <v>1</v>
      </c>
    </row>
    <row r="92" spans="9:19">
      <c r="I92" s="15">
        <f t="shared" si="20"/>
        <v>88</v>
      </c>
      <c r="J92" s="16">
        <f t="shared" ca="1" si="21"/>
        <v>279.93936632072462</v>
      </c>
      <c r="K92" s="16">
        <f t="shared" ca="1" si="11"/>
        <v>270</v>
      </c>
      <c r="L92" s="16">
        <f t="shared" ca="1" si="12"/>
        <v>0</v>
      </c>
      <c r="M92" s="17">
        <f t="shared" ca="1" si="13"/>
        <v>1350</v>
      </c>
      <c r="N92" s="17">
        <f t="shared" si="14"/>
        <v>20</v>
      </c>
      <c r="O92" s="17">
        <f t="shared" si="15"/>
        <v>-810</v>
      </c>
      <c r="P92" s="18">
        <f t="shared" ca="1" si="16"/>
        <v>0</v>
      </c>
      <c r="Q92" s="18">
        <f t="shared" ca="1" si="17"/>
        <v>0</v>
      </c>
      <c r="R92" s="19">
        <f t="shared" ca="1" si="18"/>
        <v>560</v>
      </c>
      <c r="S92" s="15">
        <f t="shared" ca="1" si="19"/>
        <v>0</v>
      </c>
    </row>
    <row r="93" spans="9:19">
      <c r="I93" s="15">
        <f t="shared" si="20"/>
        <v>89</v>
      </c>
      <c r="J93" s="16">
        <f t="shared" ca="1" si="21"/>
        <v>151.77058140623043</v>
      </c>
      <c r="K93" s="16">
        <f t="shared" ca="1" si="11"/>
        <v>118.22941859376957</v>
      </c>
      <c r="L93" s="16">
        <f t="shared" ca="1" si="12"/>
        <v>151.77058140623043</v>
      </c>
      <c r="M93" s="17">
        <f t="shared" ca="1" si="13"/>
        <v>591.1470929688478</v>
      </c>
      <c r="N93" s="17">
        <f t="shared" si="14"/>
        <v>20</v>
      </c>
      <c r="O93" s="17">
        <f t="shared" si="15"/>
        <v>-810</v>
      </c>
      <c r="P93" s="18">
        <f t="shared" ca="1" si="16"/>
        <v>-75.885290703115217</v>
      </c>
      <c r="Q93" s="18">
        <f t="shared" ca="1" si="17"/>
        <v>227.65587210934564</v>
      </c>
      <c r="R93" s="19">
        <f t="shared" ca="1" si="18"/>
        <v>-47.082325624921793</v>
      </c>
      <c r="S93" s="15">
        <f t="shared" ca="1" si="19"/>
        <v>1</v>
      </c>
    </row>
    <row r="94" spans="9:19">
      <c r="I94" s="15">
        <f t="shared" si="20"/>
        <v>90</v>
      </c>
      <c r="J94" s="16">
        <f t="shared" ca="1" si="21"/>
        <v>186.09757100132566</v>
      </c>
      <c r="K94" s="16">
        <f t="shared" ca="1" si="11"/>
        <v>83.902428998674338</v>
      </c>
      <c r="L94" s="16">
        <f t="shared" ca="1" si="12"/>
        <v>186.09757100132566</v>
      </c>
      <c r="M94" s="17">
        <f t="shared" ca="1" si="13"/>
        <v>419.51214499337169</v>
      </c>
      <c r="N94" s="17">
        <f t="shared" si="14"/>
        <v>20</v>
      </c>
      <c r="O94" s="17">
        <f t="shared" si="15"/>
        <v>-810</v>
      </c>
      <c r="P94" s="18">
        <f t="shared" ca="1" si="16"/>
        <v>-93.048785500662831</v>
      </c>
      <c r="Q94" s="18">
        <f t="shared" ca="1" si="17"/>
        <v>279.14635650198852</v>
      </c>
      <c r="R94" s="19">
        <f t="shared" ca="1" si="18"/>
        <v>-184.39028400530265</v>
      </c>
      <c r="S94" s="15">
        <f t="shared" ca="1" si="19"/>
        <v>1</v>
      </c>
    </row>
    <row r="95" spans="9:19">
      <c r="I95" s="15">
        <f t="shared" si="20"/>
        <v>91</v>
      </c>
      <c r="J95" s="16">
        <f t="shared" ca="1" si="21"/>
        <v>263.43843665790746</v>
      </c>
      <c r="K95" s="16">
        <f t="shared" ca="1" si="11"/>
        <v>6.5615633420925406</v>
      </c>
      <c r="L95" s="16">
        <f t="shared" ca="1" si="12"/>
        <v>263.43843665790746</v>
      </c>
      <c r="M95" s="17">
        <f t="shared" ca="1" si="13"/>
        <v>32.807816710462703</v>
      </c>
      <c r="N95" s="17">
        <f t="shared" si="14"/>
        <v>20</v>
      </c>
      <c r="O95" s="17">
        <f t="shared" si="15"/>
        <v>-810</v>
      </c>
      <c r="P95" s="18">
        <f t="shared" ca="1" si="16"/>
        <v>-131.71921832895373</v>
      </c>
      <c r="Q95" s="18">
        <f t="shared" ca="1" si="17"/>
        <v>395.15765498686119</v>
      </c>
      <c r="R95" s="19">
        <f t="shared" ca="1" si="18"/>
        <v>-493.75374663162984</v>
      </c>
      <c r="S95" s="15">
        <f t="shared" ca="1" si="19"/>
        <v>1</v>
      </c>
    </row>
    <row r="96" spans="9:19">
      <c r="I96" s="15">
        <f t="shared" si="20"/>
        <v>92</v>
      </c>
      <c r="J96" s="16">
        <f t="shared" ca="1" si="21"/>
        <v>314.65569535205208</v>
      </c>
      <c r="K96" s="16">
        <f t="shared" ca="1" si="11"/>
        <v>270</v>
      </c>
      <c r="L96" s="16">
        <f t="shared" ca="1" si="12"/>
        <v>0</v>
      </c>
      <c r="M96" s="17">
        <f t="shared" ca="1" si="13"/>
        <v>1350</v>
      </c>
      <c r="N96" s="17">
        <f t="shared" si="14"/>
        <v>20</v>
      </c>
      <c r="O96" s="17">
        <f t="shared" si="15"/>
        <v>-810</v>
      </c>
      <c r="P96" s="18">
        <f t="shared" ca="1" si="16"/>
        <v>0</v>
      </c>
      <c r="Q96" s="18">
        <f t="shared" ca="1" si="17"/>
        <v>0</v>
      </c>
      <c r="R96" s="19">
        <f t="shared" ca="1" si="18"/>
        <v>560</v>
      </c>
      <c r="S96" s="15">
        <f t="shared" ca="1" si="19"/>
        <v>0</v>
      </c>
    </row>
    <row r="97" spans="9:19">
      <c r="I97" s="15">
        <f t="shared" si="20"/>
        <v>93</v>
      </c>
      <c r="J97" s="16">
        <f t="shared" ca="1" si="21"/>
        <v>124.53070099410104</v>
      </c>
      <c r="K97" s="16">
        <f t="shared" ca="1" si="11"/>
        <v>145.46929900589896</v>
      </c>
      <c r="L97" s="16">
        <f t="shared" ca="1" si="12"/>
        <v>124.53070099410104</v>
      </c>
      <c r="M97" s="17">
        <f t="shared" ca="1" si="13"/>
        <v>727.3464950294948</v>
      </c>
      <c r="N97" s="17">
        <f t="shared" si="14"/>
        <v>20</v>
      </c>
      <c r="O97" s="17">
        <f t="shared" si="15"/>
        <v>-810</v>
      </c>
      <c r="P97" s="18">
        <f t="shared" ca="1" si="16"/>
        <v>-62.26535049705052</v>
      </c>
      <c r="Q97" s="18">
        <f t="shared" ca="1" si="17"/>
        <v>186.79605149115156</v>
      </c>
      <c r="R97" s="19">
        <f t="shared" ca="1" si="18"/>
        <v>61.877196023595843</v>
      </c>
      <c r="S97" s="15">
        <f t="shared" ca="1" si="19"/>
        <v>0</v>
      </c>
    </row>
    <row r="98" spans="9:19">
      <c r="I98" s="15">
        <f t="shared" si="20"/>
        <v>94</v>
      </c>
      <c r="J98" s="16">
        <f t="shared" ca="1" si="21"/>
        <v>237.74357343235471</v>
      </c>
      <c r="K98" s="16">
        <f t="shared" ca="1" si="11"/>
        <v>32.256426567645292</v>
      </c>
      <c r="L98" s="16">
        <f t="shared" ca="1" si="12"/>
        <v>237.74357343235471</v>
      </c>
      <c r="M98" s="17">
        <f t="shared" ca="1" si="13"/>
        <v>161.28213283822646</v>
      </c>
      <c r="N98" s="17">
        <f t="shared" si="14"/>
        <v>20</v>
      </c>
      <c r="O98" s="17">
        <f t="shared" si="15"/>
        <v>-810</v>
      </c>
      <c r="P98" s="18">
        <f t="shared" ca="1" si="16"/>
        <v>-118.87178671617735</v>
      </c>
      <c r="Q98" s="18">
        <f t="shared" ca="1" si="17"/>
        <v>356.61536014853209</v>
      </c>
      <c r="R98" s="19">
        <f t="shared" ca="1" si="18"/>
        <v>-390.97429372941872</v>
      </c>
      <c r="S98" s="15">
        <f t="shared" ca="1" si="19"/>
        <v>1</v>
      </c>
    </row>
    <row r="99" spans="9:19">
      <c r="I99" s="15">
        <f t="shared" si="20"/>
        <v>95</v>
      </c>
      <c r="J99" s="16">
        <f t="shared" ca="1" si="21"/>
        <v>281.29767709968291</v>
      </c>
      <c r="K99" s="16">
        <f t="shared" ca="1" si="11"/>
        <v>270</v>
      </c>
      <c r="L99" s="16">
        <f t="shared" ca="1" si="12"/>
        <v>0</v>
      </c>
      <c r="M99" s="17">
        <f t="shared" ca="1" si="13"/>
        <v>1350</v>
      </c>
      <c r="N99" s="17">
        <f t="shared" si="14"/>
        <v>20</v>
      </c>
      <c r="O99" s="17">
        <f t="shared" si="15"/>
        <v>-810</v>
      </c>
      <c r="P99" s="18">
        <f t="shared" ca="1" si="16"/>
        <v>0</v>
      </c>
      <c r="Q99" s="18">
        <f t="shared" ca="1" si="17"/>
        <v>0</v>
      </c>
      <c r="R99" s="19">
        <f t="shared" ca="1" si="18"/>
        <v>560</v>
      </c>
      <c r="S99" s="15">
        <f t="shared" ca="1" si="19"/>
        <v>0</v>
      </c>
    </row>
    <row r="100" spans="9:19">
      <c r="I100" s="15">
        <f t="shared" si="20"/>
        <v>96</v>
      </c>
      <c r="J100" s="16">
        <f t="shared" ca="1" si="21"/>
        <v>274.34206660004975</v>
      </c>
      <c r="K100" s="16">
        <f t="shared" ca="1" si="11"/>
        <v>270</v>
      </c>
      <c r="L100" s="16">
        <f t="shared" ca="1" si="12"/>
        <v>0</v>
      </c>
      <c r="M100" s="17">
        <f t="shared" ca="1" si="13"/>
        <v>1350</v>
      </c>
      <c r="N100" s="17">
        <f t="shared" si="14"/>
        <v>20</v>
      </c>
      <c r="O100" s="17">
        <f t="shared" si="15"/>
        <v>-810</v>
      </c>
      <c r="P100" s="18">
        <f t="shared" ca="1" si="16"/>
        <v>0</v>
      </c>
      <c r="Q100" s="18">
        <f t="shared" ca="1" si="17"/>
        <v>0</v>
      </c>
      <c r="R100" s="19">
        <f t="shared" ca="1" si="18"/>
        <v>560</v>
      </c>
      <c r="S100" s="15">
        <f t="shared" ca="1" si="19"/>
        <v>0</v>
      </c>
    </row>
    <row r="101" spans="9:19">
      <c r="I101" s="15">
        <f t="shared" si="20"/>
        <v>97</v>
      </c>
      <c r="J101" s="16">
        <f t="shared" ca="1" si="21"/>
        <v>250.09888438600504</v>
      </c>
      <c r="K101" s="16">
        <f t="shared" ca="1" si="11"/>
        <v>19.901115613994961</v>
      </c>
      <c r="L101" s="16">
        <f t="shared" ca="1" si="12"/>
        <v>250.09888438600504</v>
      </c>
      <c r="M101" s="17">
        <f t="shared" ca="1" si="13"/>
        <v>99.505578069974803</v>
      </c>
      <c r="N101" s="17">
        <f t="shared" si="14"/>
        <v>20</v>
      </c>
      <c r="O101" s="17">
        <f t="shared" si="15"/>
        <v>-810</v>
      </c>
      <c r="P101" s="18">
        <f t="shared" ca="1" si="16"/>
        <v>-125.04944219300252</v>
      </c>
      <c r="Q101" s="18">
        <f t="shared" ca="1" si="17"/>
        <v>375.14832657900757</v>
      </c>
      <c r="R101" s="19">
        <f t="shared" ca="1" si="18"/>
        <v>-440.3955375440201</v>
      </c>
      <c r="S101" s="15">
        <f t="shared" ca="1" si="19"/>
        <v>1</v>
      </c>
    </row>
    <row r="102" spans="9:19">
      <c r="I102" s="15">
        <f t="shared" si="20"/>
        <v>98</v>
      </c>
      <c r="J102" s="16">
        <f t="shared" ca="1" si="21"/>
        <v>142.30037884170721</v>
      </c>
      <c r="K102" s="16">
        <f t="shared" ca="1" si="11"/>
        <v>127.69962115829279</v>
      </c>
      <c r="L102" s="16">
        <f t="shared" ca="1" si="12"/>
        <v>142.30037884170721</v>
      </c>
      <c r="M102" s="17">
        <f t="shared" ca="1" si="13"/>
        <v>638.4981057914639</v>
      </c>
      <c r="N102" s="17">
        <f t="shared" si="14"/>
        <v>20</v>
      </c>
      <c r="O102" s="17">
        <f t="shared" si="15"/>
        <v>-810</v>
      </c>
      <c r="P102" s="18">
        <f t="shared" ca="1" si="16"/>
        <v>-71.150189420853607</v>
      </c>
      <c r="Q102" s="18">
        <f t="shared" ca="1" si="17"/>
        <v>213.45056826256081</v>
      </c>
      <c r="R102" s="19">
        <f t="shared" ca="1" si="18"/>
        <v>-9.2015153668289145</v>
      </c>
      <c r="S102" s="15">
        <f t="shared" ca="1" si="19"/>
        <v>1</v>
      </c>
    </row>
    <row r="103" spans="9:19">
      <c r="I103" s="15">
        <f t="shared" si="20"/>
        <v>99</v>
      </c>
      <c r="J103" s="16">
        <f t="shared" ca="1" si="21"/>
        <v>336.31581353407148</v>
      </c>
      <c r="K103" s="16">
        <f t="shared" ca="1" si="11"/>
        <v>270</v>
      </c>
      <c r="L103" s="16">
        <f t="shared" ca="1" si="12"/>
        <v>0</v>
      </c>
      <c r="M103" s="17">
        <f t="shared" ca="1" si="13"/>
        <v>1350</v>
      </c>
      <c r="N103" s="17">
        <f t="shared" si="14"/>
        <v>20</v>
      </c>
      <c r="O103" s="17">
        <f t="shared" si="15"/>
        <v>-810</v>
      </c>
      <c r="P103" s="18">
        <f t="shared" ca="1" si="16"/>
        <v>0</v>
      </c>
      <c r="Q103" s="18">
        <f t="shared" ca="1" si="17"/>
        <v>0</v>
      </c>
      <c r="R103" s="19">
        <f t="shared" ca="1" si="18"/>
        <v>560</v>
      </c>
      <c r="S103" s="15">
        <f t="shared" ca="1" si="19"/>
        <v>0</v>
      </c>
    </row>
    <row r="104" spans="9:19">
      <c r="I104" s="15">
        <f t="shared" si="20"/>
        <v>100</v>
      </c>
      <c r="J104" s="16">
        <f t="shared" ca="1" si="21"/>
        <v>199.41099477465016</v>
      </c>
      <c r="K104" s="16">
        <f t="shared" ca="1" si="11"/>
        <v>70.589005225349837</v>
      </c>
      <c r="L104" s="16">
        <f t="shared" ca="1" si="12"/>
        <v>199.41099477465016</v>
      </c>
      <c r="M104" s="17">
        <f t="shared" ca="1" si="13"/>
        <v>352.94502612674921</v>
      </c>
      <c r="N104" s="17">
        <f t="shared" si="14"/>
        <v>20</v>
      </c>
      <c r="O104" s="17">
        <f t="shared" si="15"/>
        <v>-810</v>
      </c>
      <c r="P104" s="18">
        <f t="shared" ca="1" si="16"/>
        <v>-99.705497387325082</v>
      </c>
      <c r="Q104" s="18">
        <f t="shared" ca="1" si="17"/>
        <v>299.11649216197526</v>
      </c>
      <c r="R104" s="19">
        <f t="shared" ca="1" si="18"/>
        <v>-237.6439790986006</v>
      </c>
      <c r="S104" s="15">
        <f t="shared" ca="1" si="19"/>
        <v>1</v>
      </c>
    </row>
    <row r="105" spans="9:19">
      <c r="I105" s="15">
        <f t="shared" si="20"/>
        <v>101</v>
      </c>
      <c r="J105" s="16">
        <f t="shared" ca="1" si="21"/>
        <v>136.45551618368052</v>
      </c>
      <c r="K105" s="16">
        <f t="shared" ca="1" si="11"/>
        <v>133.54448381631948</v>
      </c>
      <c r="L105" s="16">
        <f t="shared" ca="1" si="12"/>
        <v>136.45551618368052</v>
      </c>
      <c r="M105" s="17">
        <f t="shared" ca="1" si="13"/>
        <v>667.72241908159742</v>
      </c>
      <c r="N105" s="17">
        <f t="shared" si="14"/>
        <v>20</v>
      </c>
      <c r="O105" s="17">
        <f t="shared" si="15"/>
        <v>-810</v>
      </c>
      <c r="P105" s="18">
        <f t="shared" ca="1" si="16"/>
        <v>-68.227758091840258</v>
      </c>
      <c r="Q105" s="18">
        <f t="shared" ca="1" si="17"/>
        <v>204.68327427552077</v>
      </c>
      <c r="R105" s="19">
        <f t="shared" ca="1" si="18"/>
        <v>14.177935265277938</v>
      </c>
      <c r="S105" s="15">
        <f t="shared" ca="1" si="19"/>
        <v>0</v>
      </c>
    </row>
    <row r="106" spans="9:19">
      <c r="I106" s="15">
        <f t="shared" si="20"/>
        <v>102</v>
      </c>
      <c r="J106" s="16">
        <f t="shared" ca="1" si="21"/>
        <v>152.16999330466084</v>
      </c>
      <c r="K106" s="16">
        <f t="shared" ca="1" si="11"/>
        <v>117.83000669533916</v>
      </c>
      <c r="L106" s="16">
        <f t="shared" ca="1" si="12"/>
        <v>152.16999330466084</v>
      </c>
      <c r="M106" s="17">
        <f t="shared" ca="1" si="13"/>
        <v>589.15003347669585</v>
      </c>
      <c r="N106" s="17">
        <f t="shared" si="14"/>
        <v>20</v>
      </c>
      <c r="O106" s="17">
        <f t="shared" si="15"/>
        <v>-810</v>
      </c>
      <c r="P106" s="18">
        <f t="shared" ca="1" si="16"/>
        <v>-76.084996652330418</v>
      </c>
      <c r="Q106" s="18">
        <f t="shared" ca="1" si="17"/>
        <v>228.25498995699127</v>
      </c>
      <c r="R106" s="19">
        <f t="shared" ca="1" si="18"/>
        <v>-48.679973218643283</v>
      </c>
      <c r="S106" s="15">
        <f t="shared" ca="1" si="19"/>
        <v>1</v>
      </c>
    </row>
    <row r="107" spans="9:19">
      <c r="I107" s="15">
        <f t="shared" si="20"/>
        <v>103</v>
      </c>
      <c r="J107" s="16">
        <f t="shared" ca="1" si="21"/>
        <v>213.84102238719592</v>
      </c>
      <c r="K107" s="16">
        <f t="shared" ca="1" si="11"/>
        <v>56.15897761280408</v>
      </c>
      <c r="L107" s="16">
        <f t="shared" ca="1" si="12"/>
        <v>213.84102238719592</v>
      </c>
      <c r="M107" s="17">
        <f t="shared" ca="1" si="13"/>
        <v>280.79488806402037</v>
      </c>
      <c r="N107" s="17">
        <f t="shared" si="14"/>
        <v>20</v>
      </c>
      <c r="O107" s="17">
        <f t="shared" si="15"/>
        <v>-810</v>
      </c>
      <c r="P107" s="18">
        <f t="shared" ca="1" si="16"/>
        <v>-106.92051119359796</v>
      </c>
      <c r="Q107" s="18">
        <f t="shared" ca="1" si="17"/>
        <v>320.76153358079387</v>
      </c>
      <c r="R107" s="19">
        <f t="shared" ca="1" si="18"/>
        <v>-295.36408954878368</v>
      </c>
      <c r="S107" s="15">
        <f t="shared" ca="1" si="19"/>
        <v>1</v>
      </c>
    </row>
    <row r="108" spans="9:19">
      <c r="I108" s="15">
        <f t="shared" si="20"/>
        <v>104</v>
      </c>
      <c r="J108" s="16">
        <f t="shared" ca="1" si="21"/>
        <v>312.39002707457388</v>
      </c>
      <c r="K108" s="16">
        <f t="shared" ca="1" si="11"/>
        <v>270</v>
      </c>
      <c r="L108" s="16">
        <f t="shared" ca="1" si="12"/>
        <v>0</v>
      </c>
      <c r="M108" s="17">
        <f t="shared" ca="1" si="13"/>
        <v>1350</v>
      </c>
      <c r="N108" s="17">
        <f t="shared" si="14"/>
        <v>20</v>
      </c>
      <c r="O108" s="17">
        <f t="shared" si="15"/>
        <v>-810</v>
      </c>
      <c r="P108" s="18">
        <f t="shared" ca="1" si="16"/>
        <v>0</v>
      </c>
      <c r="Q108" s="18">
        <f t="shared" ca="1" si="17"/>
        <v>0</v>
      </c>
      <c r="R108" s="19">
        <f t="shared" ca="1" si="18"/>
        <v>560</v>
      </c>
      <c r="S108" s="15">
        <f t="shared" ca="1" si="19"/>
        <v>0</v>
      </c>
    </row>
    <row r="109" spans="9:19">
      <c r="I109" s="15">
        <f t="shared" si="20"/>
        <v>105</v>
      </c>
      <c r="J109" s="16">
        <f t="shared" ca="1" si="21"/>
        <v>161.66908992491852</v>
      </c>
      <c r="K109" s="16">
        <f t="shared" ca="1" si="11"/>
        <v>108.33091007508148</v>
      </c>
      <c r="L109" s="16">
        <f t="shared" ca="1" si="12"/>
        <v>161.66908992491852</v>
      </c>
      <c r="M109" s="17">
        <f t="shared" ca="1" si="13"/>
        <v>541.65455037540733</v>
      </c>
      <c r="N109" s="17">
        <f t="shared" si="14"/>
        <v>20</v>
      </c>
      <c r="O109" s="17">
        <f t="shared" si="15"/>
        <v>-810</v>
      </c>
      <c r="P109" s="18">
        <f t="shared" ca="1" si="16"/>
        <v>-80.834544962459262</v>
      </c>
      <c r="Q109" s="18">
        <f t="shared" ca="1" si="17"/>
        <v>242.50363488737779</v>
      </c>
      <c r="R109" s="19">
        <f t="shared" ca="1" si="18"/>
        <v>-86.67635969967418</v>
      </c>
      <c r="S109" s="15">
        <f t="shared" ca="1" si="19"/>
        <v>1</v>
      </c>
    </row>
    <row r="110" spans="9:19">
      <c r="I110" s="15">
        <f t="shared" si="20"/>
        <v>106</v>
      </c>
      <c r="J110" s="16">
        <f t="shared" ca="1" si="21"/>
        <v>143.91913336663524</v>
      </c>
      <c r="K110" s="16">
        <f t="shared" ca="1" si="11"/>
        <v>126.08086663336476</v>
      </c>
      <c r="L110" s="16">
        <f t="shared" ca="1" si="12"/>
        <v>143.91913336663524</v>
      </c>
      <c r="M110" s="17">
        <f t="shared" ca="1" si="13"/>
        <v>630.40433316682379</v>
      </c>
      <c r="N110" s="17">
        <f t="shared" si="14"/>
        <v>20</v>
      </c>
      <c r="O110" s="17">
        <f t="shared" si="15"/>
        <v>-810</v>
      </c>
      <c r="P110" s="18">
        <f t="shared" ca="1" si="16"/>
        <v>-71.959566683317618</v>
      </c>
      <c r="Q110" s="18">
        <f t="shared" ca="1" si="17"/>
        <v>215.87870004995284</v>
      </c>
      <c r="R110" s="19">
        <f t="shared" ca="1" si="18"/>
        <v>-15.676533466541002</v>
      </c>
      <c r="S110" s="15">
        <f t="shared" ca="1" si="19"/>
        <v>1</v>
      </c>
    </row>
    <row r="111" spans="9:19">
      <c r="I111" s="15">
        <f t="shared" si="20"/>
        <v>107</v>
      </c>
      <c r="J111" s="16">
        <f t="shared" ca="1" si="21"/>
        <v>225.36767573321538</v>
      </c>
      <c r="K111" s="16">
        <f t="shared" ca="1" si="11"/>
        <v>44.632324266784622</v>
      </c>
      <c r="L111" s="16">
        <f t="shared" ca="1" si="12"/>
        <v>225.36767573321538</v>
      </c>
      <c r="M111" s="17">
        <f t="shared" ca="1" si="13"/>
        <v>223.16162133392311</v>
      </c>
      <c r="N111" s="17">
        <f t="shared" si="14"/>
        <v>20</v>
      </c>
      <c r="O111" s="17">
        <f t="shared" si="15"/>
        <v>-810</v>
      </c>
      <c r="P111" s="18">
        <f t="shared" ca="1" si="16"/>
        <v>-112.68383786660769</v>
      </c>
      <c r="Q111" s="18">
        <f t="shared" ca="1" si="17"/>
        <v>338.05151359982307</v>
      </c>
      <c r="R111" s="19">
        <f t="shared" ca="1" si="18"/>
        <v>-341.47070293286146</v>
      </c>
      <c r="S111" s="15">
        <f t="shared" ca="1" si="19"/>
        <v>1</v>
      </c>
    </row>
    <row r="112" spans="9:19">
      <c r="I112" s="15">
        <f t="shared" si="20"/>
        <v>108</v>
      </c>
      <c r="J112" s="16">
        <f t="shared" ca="1" si="21"/>
        <v>313.81843484849082</v>
      </c>
      <c r="K112" s="16">
        <f t="shared" ca="1" si="11"/>
        <v>270</v>
      </c>
      <c r="L112" s="16">
        <f t="shared" ca="1" si="12"/>
        <v>0</v>
      </c>
      <c r="M112" s="17">
        <f t="shared" ca="1" si="13"/>
        <v>1350</v>
      </c>
      <c r="N112" s="17">
        <f t="shared" si="14"/>
        <v>20</v>
      </c>
      <c r="O112" s="17">
        <f t="shared" si="15"/>
        <v>-810</v>
      </c>
      <c r="P112" s="18">
        <f t="shared" ca="1" si="16"/>
        <v>0</v>
      </c>
      <c r="Q112" s="18">
        <f t="shared" ca="1" si="17"/>
        <v>0</v>
      </c>
      <c r="R112" s="19">
        <f t="shared" ca="1" si="18"/>
        <v>560</v>
      </c>
      <c r="S112" s="15">
        <f t="shared" ca="1" si="19"/>
        <v>0</v>
      </c>
    </row>
    <row r="113" spans="9:19">
      <c r="I113" s="15">
        <f t="shared" si="20"/>
        <v>109</v>
      </c>
      <c r="J113" s="16">
        <f t="shared" ca="1" si="21"/>
        <v>297.3530239112759</v>
      </c>
      <c r="K113" s="16">
        <f t="shared" ca="1" si="11"/>
        <v>270</v>
      </c>
      <c r="L113" s="16">
        <f t="shared" ca="1" si="12"/>
        <v>0</v>
      </c>
      <c r="M113" s="17">
        <f t="shared" ca="1" si="13"/>
        <v>1350</v>
      </c>
      <c r="N113" s="17">
        <f t="shared" si="14"/>
        <v>20</v>
      </c>
      <c r="O113" s="17">
        <f t="shared" si="15"/>
        <v>-810</v>
      </c>
      <c r="P113" s="18">
        <f t="shared" ca="1" si="16"/>
        <v>0</v>
      </c>
      <c r="Q113" s="18">
        <f t="shared" ca="1" si="17"/>
        <v>0</v>
      </c>
      <c r="R113" s="19">
        <f t="shared" ca="1" si="18"/>
        <v>560</v>
      </c>
      <c r="S113" s="15">
        <f t="shared" ca="1" si="19"/>
        <v>0</v>
      </c>
    </row>
    <row r="114" spans="9:19">
      <c r="I114" s="15">
        <f t="shared" si="20"/>
        <v>110</v>
      </c>
      <c r="J114" s="16">
        <f t="shared" ca="1" si="21"/>
        <v>156.41599138201957</v>
      </c>
      <c r="K114" s="16">
        <f t="shared" ca="1" si="11"/>
        <v>113.58400861798043</v>
      </c>
      <c r="L114" s="16">
        <f t="shared" ca="1" si="12"/>
        <v>156.41599138201957</v>
      </c>
      <c r="M114" s="17">
        <f t="shared" ca="1" si="13"/>
        <v>567.92004308990215</v>
      </c>
      <c r="N114" s="17">
        <f t="shared" si="14"/>
        <v>20</v>
      </c>
      <c r="O114" s="17">
        <f t="shared" si="15"/>
        <v>-810</v>
      </c>
      <c r="P114" s="18">
        <f t="shared" ca="1" si="16"/>
        <v>-78.207995691009785</v>
      </c>
      <c r="Q114" s="18">
        <f t="shared" ca="1" si="17"/>
        <v>234.62398707302935</v>
      </c>
      <c r="R114" s="19">
        <f t="shared" ca="1" si="18"/>
        <v>-65.663965528078279</v>
      </c>
      <c r="S114" s="15">
        <f t="shared" ca="1" si="19"/>
        <v>1</v>
      </c>
    </row>
    <row r="115" spans="9:19">
      <c r="I115" s="15">
        <f t="shared" si="20"/>
        <v>111</v>
      </c>
      <c r="J115" s="16">
        <f t="shared" ca="1" si="21"/>
        <v>296.04138398058035</v>
      </c>
      <c r="K115" s="16">
        <f t="shared" ca="1" si="11"/>
        <v>270</v>
      </c>
      <c r="L115" s="16">
        <f t="shared" ca="1" si="12"/>
        <v>0</v>
      </c>
      <c r="M115" s="17">
        <f t="shared" ca="1" si="13"/>
        <v>1350</v>
      </c>
      <c r="N115" s="17">
        <f t="shared" si="14"/>
        <v>20</v>
      </c>
      <c r="O115" s="17">
        <f t="shared" si="15"/>
        <v>-810</v>
      </c>
      <c r="P115" s="18">
        <f t="shared" ca="1" si="16"/>
        <v>0</v>
      </c>
      <c r="Q115" s="18">
        <f t="shared" ca="1" si="17"/>
        <v>0</v>
      </c>
      <c r="R115" s="19">
        <f t="shared" ca="1" si="18"/>
        <v>560</v>
      </c>
      <c r="S115" s="15">
        <f t="shared" ca="1" si="19"/>
        <v>0</v>
      </c>
    </row>
    <row r="116" spans="9:19">
      <c r="I116" s="15">
        <f t="shared" si="20"/>
        <v>112</v>
      </c>
      <c r="J116" s="16">
        <f t="shared" ca="1" si="21"/>
        <v>388.95694996132642</v>
      </c>
      <c r="K116" s="16">
        <f t="shared" ca="1" si="11"/>
        <v>270</v>
      </c>
      <c r="L116" s="16">
        <f t="shared" ca="1" si="12"/>
        <v>0</v>
      </c>
      <c r="M116" s="17">
        <f t="shared" ca="1" si="13"/>
        <v>1350</v>
      </c>
      <c r="N116" s="17">
        <f t="shared" si="14"/>
        <v>20</v>
      </c>
      <c r="O116" s="17">
        <f t="shared" si="15"/>
        <v>-810</v>
      </c>
      <c r="P116" s="18">
        <f t="shared" ca="1" si="16"/>
        <v>0</v>
      </c>
      <c r="Q116" s="18">
        <f t="shared" ca="1" si="17"/>
        <v>0</v>
      </c>
      <c r="R116" s="19">
        <f t="shared" ca="1" si="18"/>
        <v>560</v>
      </c>
      <c r="S116" s="15">
        <f t="shared" ca="1" si="19"/>
        <v>0</v>
      </c>
    </row>
    <row r="117" spans="9:19">
      <c r="I117" s="15">
        <f t="shared" si="20"/>
        <v>113</v>
      </c>
      <c r="J117" s="16">
        <f t="shared" ca="1" si="21"/>
        <v>373.52351001265436</v>
      </c>
      <c r="K117" s="16">
        <f t="shared" ca="1" si="11"/>
        <v>270</v>
      </c>
      <c r="L117" s="16">
        <f t="shared" ca="1" si="12"/>
        <v>0</v>
      </c>
      <c r="M117" s="17">
        <f t="shared" ca="1" si="13"/>
        <v>1350</v>
      </c>
      <c r="N117" s="17">
        <f t="shared" si="14"/>
        <v>20</v>
      </c>
      <c r="O117" s="17">
        <f t="shared" si="15"/>
        <v>-810</v>
      </c>
      <c r="P117" s="18">
        <f t="shared" ca="1" si="16"/>
        <v>0</v>
      </c>
      <c r="Q117" s="18">
        <f t="shared" ca="1" si="17"/>
        <v>0</v>
      </c>
      <c r="R117" s="19">
        <f t="shared" ca="1" si="18"/>
        <v>560</v>
      </c>
      <c r="S117" s="15">
        <f t="shared" ca="1" si="19"/>
        <v>0</v>
      </c>
    </row>
    <row r="118" spans="9:19">
      <c r="I118" s="15">
        <f t="shared" si="20"/>
        <v>114</v>
      </c>
      <c r="J118" s="16">
        <f t="shared" ca="1" si="21"/>
        <v>167.43461325277218</v>
      </c>
      <c r="K118" s="16">
        <f t="shared" ca="1" si="11"/>
        <v>102.56538674722782</v>
      </c>
      <c r="L118" s="16">
        <f t="shared" ca="1" si="12"/>
        <v>167.43461325277218</v>
      </c>
      <c r="M118" s="17">
        <f t="shared" ca="1" si="13"/>
        <v>512.82693373613915</v>
      </c>
      <c r="N118" s="17">
        <f t="shared" si="14"/>
        <v>20</v>
      </c>
      <c r="O118" s="17">
        <f t="shared" si="15"/>
        <v>-810</v>
      </c>
      <c r="P118" s="18">
        <f t="shared" ca="1" si="16"/>
        <v>-83.71730662638609</v>
      </c>
      <c r="Q118" s="18">
        <f t="shared" ca="1" si="17"/>
        <v>251.15191987915827</v>
      </c>
      <c r="R118" s="19">
        <f t="shared" ca="1" si="18"/>
        <v>-109.73845301108864</v>
      </c>
      <c r="S118" s="15">
        <f t="shared" ca="1" si="19"/>
        <v>1</v>
      </c>
    </row>
    <row r="119" spans="9:19">
      <c r="I119" s="15">
        <f t="shared" si="20"/>
        <v>115</v>
      </c>
      <c r="J119" s="16">
        <f t="shared" ca="1" si="21"/>
        <v>136.88697899999531</v>
      </c>
      <c r="K119" s="16">
        <f t="shared" ca="1" si="11"/>
        <v>133.11302100000469</v>
      </c>
      <c r="L119" s="16">
        <f t="shared" ca="1" si="12"/>
        <v>136.88697899999531</v>
      </c>
      <c r="M119" s="17">
        <f t="shared" ca="1" si="13"/>
        <v>665.56510500002344</v>
      </c>
      <c r="N119" s="17">
        <f t="shared" si="14"/>
        <v>20</v>
      </c>
      <c r="O119" s="17">
        <f t="shared" si="15"/>
        <v>-810</v>
      </c>
      <c r="P119" s="18">
        <f t="shared" ca="1" si="16"/>
        <v>-68.443489499997654</v>
      </c>
      <c r="Q119" s="18">
        <f t="shared" ca="1" si="17"/>
        <v>205.33046849999295</v>
      </c>
      <c r="R119" s="19">
        <f t="shared" ca="1" si="18"/>
        <v>12.452084000018715</v>
      </c>
      <c r="S119" s="15">
        <f t="shared" ca="1" si="19"/>
        <v>0</v>
      </c>
    </row>
    <row r="120" spans="9:19">
      <c r="I120" s="15">
        <f t="shared" si="20"/>
        <v>116</v>
      </c>
      <c r="J120" s="16">
        <f t="shared" ca="1" si="21"/>
        <v>296.44891600926439</v>
      </c>
      <c r="K120" s="16">
        <f t="shared" ca="1" si="11"/>
        <v>270</v>
      </c>
      <c r="L120" s="16">
        <f t="shared" ca="1" si="12"/>
        <v>0</v>
      </c>
      <c r="M120" s="17">
        <f t="shared" ca="1" si="13"/>
        <v>1350</v>
      </c>
      <c r="N120" s="17">
        <f t="shared" si="14"/>
        <v>20</v>
      </c>
      <c r="O120" s="17">
        <f t="shared" si="15"/>
        <v>-810</v>
      </c>
      <c r="P120" s="18">
        <f t="shared" ca="1" si="16"/>
        <v>0</v>
      </c>
      <c r="Q120" s="18">
        <f t="shared" ca="1" si="17"/>
        <v>0</v>
      </c>
      <c r="R120" s="19">
        <f t="shared" ca="1" si="18"/>
        <v>560</v>
      </c>
      <c r="S120" s="15">
        <f t="shared" ca="1" si="19"/>
        <v>0</v>
      </c>
    </row>
    <row r="121" spans="9:19">
      <c r="I121" s="15">
        <f t="shared" si="20"/>
        <v>117</v>
      </c>
      <c r="J121" s="16">
        <f t="shared" ca="1" si="21"/>
        <v>409.88079360240488</v>
      </c>
      <c r="K121" s="16">
        <f t="shared" ca="1" si="11"/>
        <v>270</v>
      </c>
      <c r="L121" s="16">
        <f t="shared" ca="1" si="12"/>
        <v>0</v>
      </c>
      <c r="M121" s="17">
        <f t="shared" ca="1" si="13"/>
        <v>1350</v>
      </c>
      <c r="N121" s="17">
        <f t="shared" si="14"/>
        <v>20</v>
      </c>
      <c r="O121" s="17">
        <f t="shared" si="15"/>
        <v>-810</v>
      </c>
      <c r="P121" s="18">
        <f t="shared" ca="1" si="16"/>
        <v>0</v>
      </c>
      <c r="Q121" s="18">
        <f t="shared" ca="1" si="17"/>
        <v>0</v>
      </c>
      <c r="R121" s="19">
        <f t="shared" ca="1" si="18"/>
        <v>560</v>
      </c>
      <c r="S121" s="15">
        <f t="shared" ca="1" si="19"/>
        <v>0</v>
      </c>
    </row>
    <row r="122" spans="9:19">
      <c r="I122" s="15">
        <f t="shared" si="20"/>
        <v>118</v>
      </c>
      <c r="J122" s="16">
        <f t="shared" ca="1" si="21"/>
        <v>161.08359724276337</v>
      </c>
      <c r="K122" s="16">
        <f t="shared" ca="1" si="11"/>
        <v>108.91640275723663</v>
      </c>
      <c r="L122" s="16">
        <f t="shared" ca="1" si="12"/>
        <v>161.08359724276337</v>
      </c>
      <c r="M122" s="17">
        <f t="shared" ca="1" si="13"/>
        <v>544.5820137861831</v>
      </c>
      <c r="N122" s="17">
        <f t="shared" si="14"/>
        <v>20</v>
      </c>
      <c r="O122" s="17">
        <f t="shared" si="15"/>
        <v>-810</v>
      </c>
      <c r="P122" s="18">
        <f t="shared" ca="1" si="16"/>
        <v>-80.541798621381687</v>
      </c>
      <c r="Q122" s="18">
        <f t="shared" ca="1" si="17"/>
        <v>241.62539586414505</v>
      </c>
      <c r="R122" s="19">
        <f t="shared" ca="1" si="18"/>
        <v>-84.334388971053556</v>
      </c>
      <c r="S122" s="15">
        <f t="shared" ca="1" si="19"/>
        <v>1</v>
      </c>
    </row>
    <row r="123" spans="9:19">
      <c r="I123" s="15">
        <f t="shared" si="20"/>
        <v>119</v>
      </c>
      <c r="J123" s="16">
        <f t="shared" ca="1" si="21"/>
        <v>122.12919253297832</v>
      </c>
      <c r="K123" s="16">
        <f t="shared" ca="1" si="11"/>
        <v>147.87080746702168</v>
      </c>
      <c r="L123" s="16">
        <f t="shared" ca="1" si="12"/>
        <v>122.12919253297832</v>
      </c>
      <c r="M123" s="17">
        <f t="shared" ca="1" si="13"/>
        <v>739.35403733510839</v>
      </c>
      <c r="N123" s="17">
        <f t="shared" si="14"/>
        <v>20</v>
      </c>
      <c r="O123" s="17">
        <f t="shared" si="15"/>
        <v>-810</v>
      </c>
      <c r="P123" s="18">
        <f t="shared" ca="1" si="16"/>
        <v>-61.064596266489161</v>
      </c>
      <c r="Q123" s="18">
        <f t="shared" ca="1" si="17"/>
        <v>183.19378879946748</v>
      </c>
      <c r="R123" s="19">
        <f t="shared" ca="1" si="18"/>
        <v>71.48322986808671</v>
      </c>
      <c r="S123" s="15">
        <f t="shared" ca="1" si="19"/>
        <v>0</v>
      </c>
    </row>
    <row r="124" spans="9:19">
      <c r="I124" s="15">
        <f t="shared" si="20"/>
        <v>120</v>
      </c>
      <c r="J124" s="16">
        <f t="shared" ca="1" si="21"/>
        <v>193.49082936266456</v>
      </c>
      <c r="K124" s="16">
        <f t="shared" ca="1" si="11"/>
        <v>76.509170637335444</v>
      </c>
      <c r="L124" s="16">
        <f t="shared" ca="1" si="12"/>
        <v>193.49082936266456</v>
      </c>
      <c r="M124" s="17">
        <f t="shared" ca="1" si="13"/>
        <v>382.54585318667722</v>
      </c>
      <c r="N124" s="17">
        <f t="shared" si="14"/>
        <v>20</v>
      </c>
      <c r="O124" s="17">
        <f t="shared" si="15"/>
        <v>-810</v>
      </c>
      <c r="P124" s="18">
        <f t="shared" ca="1" si="16"/>
        <v>-96.745414681332278</v>
      </c>
      <c r="Q124" s="18">
        <f t="shared" ca="1" si="17"/>
        <v>290.23624404399686</v>
      </c>
      <c r="R124" s="19">
        <f t="shared" ca="1" si="18"/>
        <v>-213.96331745065822</v>
      </c>
      <c r="S124" s="15">
        <f t="shared" ca="1" si="19"/>
        <v>1</v>
      </c>
    </row>
    <row r="125" spans="9:19">
      <c r="I125" s="15">
        <f t="shared" si="20"/>
        <v>121</v>
      </c>
      <c r="J125" s="16">
        <f t="shared" ca="1" si="21"/>
        <v>123.39014499359055</v>
      </c>
      <c r="K125" s="16">
        <f t="shared" ca="1" si="11"/>
        <v>146.60985500640945</v>
      </c>
      <c r="L125" s="16">
        <f t="shared" ca="1" si="12"/>
        <v>123.39014499359055</v>
      </c>
      <c r="M125" s="17">
        <f t="shared" ca="1" si="13"/>
        <v>733.04927503204726</v>
      </c>
      <c r="N125" s="17">
        <f t="shared" si="14"/>
        <v>20</v>
      </c>
      <c r="O125" s="17">
        <f t="shared" si="15"/>
        <v>-810</v>
      </c>
      <c r="P125" s="18">
        <f t="shared" ca="1" si="16"/>
        <v>-61.695072496795277</v>
      </c>
      <c r="Q125" s="18">
        <f t="shared" ca="1" si="17"/>
        <v>185.08521749038584</v>
      </c>
      <c r="R125" s="19">
        <f t="shared" ca="1" si="18"/>
        <v>66.43942002563783</v>
      </c>
      <c r="S125" s="15">
        <f t="shared" ca="1" si="19"/>
        <v>0</v>
      </c>
    </row>
    <row r="126" spans="9:19">
      <c r="I126" s="15">
        <f t="shared" si="20"/>
        <v>122</v>
      </c>
      <c r="J126" s="16">
        <f t="shared" ca="1" si="21"/>
        <v>209.70945266531774</v>
      </c>
      <c r="K126" s="16">
        <f t="shared" ca="1" si="11"/>
        <v>60.290547334682259</v>
      </c>
      <c r="L126" s="16">
        <f t="shared" ca="1" si="12"/>
        <v>209.70945266531774</v>
      </c>
      <c r="M126" s="17">
        <f t="shared" ca="1" si="13"/>
        <v>301.45273667341132</v>
      </c>
      <c r="N126" s="17">
        <f t="shared" si="14"/>
        <v>20</v>
      </c>
      <c r="O126" s="17">
        <f t="shared" si="15"/>
        <v>-810</v>
      </c>
      <c r="P126" s="18">
        <f t="shared" ca="1" si="16"/>
        <v>-104.85472633265887</v>
      </c>
      <c r="Q126" s="18">
        <f t="shared" ca="1" si="17"/>
        <v>314.56417899797663</v>
      </c>
      <c r="R126" s="19">
        <f t="shared" ca="1" si="18"/>
        <v>-278.83781066127091</v>
      </c>
      <c r="S126" s="15">
        <f t="shared" ca="1" si="19"/>
        <v>1</v>
      </c>
    </row>
    <row r="127" spans="9:19">
      <c r="I127" s="15">
        <f t="shared" si="20"/>
        <v>123</v>
      </c>
      <c r="J127" s="16">
        <f t="shared" ca="1" si="21"/>
        <v>290.4694897345471</v>
      </c>
      <c r="K127" s="16">
        <f t="shared" ca="1" si="11"/>
        <v>270</v>
      </c>
      <c r="L127" s="16">
        <f t="shared" ca="1" si="12"/>
        <v>0</v>
      </c>
      <c r="M127" s="17">
        <f t="shared" ca="1" si="13"/>
        <v>1350</v>
      </c>
      <c r="N127" s="17">
        <f t="shared" si="14"/>
        <v>20</v>
      </c>
      <c r="O127" s="17">
        <f t="shared" si="15"/>
        <v>-810</v>
      </c>
      <c r="P127" s="18">
        <f t="shared" ca="1" si="16"/>
        <v>0</v>
      </c>
      <c r="Q127" s="18">
        <f t="shared" ca="1" si="17"/>
        <v>0</v>
      </c>
      <c r="R127" s="19">
        <f t="shared" ca="1" si="18"/>
        <v>560</v>
      </c>
      <c r="S127" s="15">
        <f t="shared" ca="1" si="19"/>
        <v>0</v>
      </c>
    </row>
    <row r="128" spans="9:19">
      <c r="I128" s="15">
        <f t="shared" si="20"/>
        <v>124</v>
      </c>
      <c r="J128" s="16">
        <f t="shared" ca="1" si="21"/>
        <v>359.62047106473221</v>
      </c>
      <c r="K128" s="16">
        <f t="shared" ca="1" si="11"/>
        <v>270</v>
      </c>
      <c r="L128" s="16">
        <f t="shared" ca="1" si="12"/>
        <v>0</v>
      </c>
      <c r="M128" s="17">
        <f t="shared" ca="1" si="13"/>
        <v>1350</v>
      </c>
      <c r="N128" s="17">
        <f t="shared" si="14"/>
        <v>20</v>
      </c>
      <c r="O128" s="17">
        <f t="shared" si="15"/>
        <v>-810</v>
      </c>
      <c r="P128" s="18">
        <f t="shared" ca="1" si="16"/>
        <v>0</v>
      </c>
      <c r="Q128" s="18">
        <f t="shared" ca="1" si="17"/>
        <v>0</v>
      </c>
      <c r="R128" s="19">
        <f t="shared" ca="1" si="18"/>
        <v>560</v>
      </c>
      <c r="S128" s="15">
        <f t="shared" ca="1" si="19"/>
        <v>0</v>
      </c>
    </row>
    <row r="129" spans="9:19">
      <c r="I129" s="15">
        <f t="shared" si="20"/>
        <v>125</v>
      </c>
      <c r="J129" s="16">
        <f t="shared" ca="1" si="21"/>
        <v>208.57307676370289</v>
      </c>
      <c r="K129" s="16">
        <f t="shared" ca="1" si="11"/>
        <v>61.426923236297114</v>
      </c>
      <c r="L129" s="16">
        <f t="shared" ca="1" si="12"/>
        <v>208.57307676370289</v>
      </c>
      <c r="M129" s="17">
        <f t="shared" ca="1" si="13"/>
        <v>307.13461618148557</v>
      </c>
      <c r="N129" s="17">
        <f t="shared" si="14"/>
        <v>20</v>
      </c>
      <c r="O129" s="17">
        <f t="shared" si="15"/>
        <v>-810</v>
      </c>
      <c r="P129" s="18">
        <f t="shared" ca="1" si="16"/>
        <v>-104.28653838185144</v>
      </c>
      <c r="Q129" s="18">
        <f t="shared" ca="1" si="17"/>
        <v>312.85961514555436</v>
      </c>
      <c r="R129" s="19">
        <f t="shared" ca="1" si="18"/>
        <v>-274.29230705481154</v>
      </c>
      <c r="S129" s="15">
        <f t="shared" ca="1" si="19"/>
        <v>1</v>
      </c>
    </row>
    <row r="130" spans="9:19">
      <c r="I130" s="15">
        <f t="shared" si="20"/>
        <v>126</v>
      </c>
      <c r="J130" s="16">
        <f t="shared" ca="1" si="21"/>
        <v>184.51603831561997</v>
      </c>
      <c r="K130" s="16">
        <f t="shared" ca="1" si="11"/>
        <v>85.483961684380034</v>
      </c>
      <c r="L130" s="16">
        <f t="shared" ca="1" si="12"/>
        <v>184.51603831561997</v>
      </c>
      <c r="M130" s="17">
        <f t="shared" ca="1" si="13"/>
        <v>427.41980842190014</v>
      </c>
      <c r="N130" s="17">
        <f t="shared" si="14"/>
        <v>20</v>
      </c>
      <c r="O130" s="17">
        <f t="shared" si="15"/>
        <v>-810</v>
      </c>
      <c r="P130" s="18">
        <f t="shared" ca="1" si="16"/>
        <v>-92.258019157809983</v>
      </c>
      <c r="Q130" s="18">
        <f t="shared" ca="1" si="17"/>
        <v>276.77405747342993</v>
      </c>
      <c r="R130" s="19">
        <f t="shared" ca="1" si="18"/>
        <v>-178.06415326247992</v>
      </c>
      <c r="S130" s="15">
        <f t="shared" ca="1" si="19"/>
        <v>1</v>
      </c>
    </row>
    <row r="131" spans="9:19">
      <c r="I131" s="15">
        <f t="shared" si="20"/>
        <v>127</v>
      </c>
      <c r="J131" s="16">
        <f t="shared" ca="1" si="21"/>
        <v>337.9746592718684</v>
      </c>
      <c r="K131" s="16">
        <f t="shared" ca="1" si="11"/>
        <v>270</v>
      </c>
      <c r="L131" s="16">
        <f t="shared" ca="1" si="12"/>
        <v>0</v>
      </c>
      <c r="M131" s="17">
        <f t="shared" ca="1" si="13"/>
        <v>1350</v>
      </c>
      <c r="N131" s="17">
        <f t="shared" si="14"/>
        <v>20</v>
      </c>
      <c r="O131" s="17">
        <f t="shared" si="15"/>
        <v>-810</v>
      </c>
      <c r="P131" s="18">
        <f t="shared" ca="1" si="16"/>
        <v>0</v>
      </c>
      <c r="Q131" s="18">
        <f t="shared" ca="1" si="17"/>
        <v>0</v>
      </c>
      <c r="R131" s="19">
        <f t="shared" ca="1" si="18"/>
        <v>560</v>
      </c>
      <c r="S131" s="15">
        <f t="shared" ca="1" si="19"/>
        <v>0</v>
      </c>
    </row>
    <row r="132" spans="9:19">
      <c r="I132" s="15">
        <f t="shared" si="20"/>
        <v>128</v>
      </c>
      <c r="J132" s="16">
        <f t="shared" ca="1" si="21"/>
        <v>417.8409558573897</v>
      </c>
      <c r="K132" s="16">
        <f t="shared" ca="1" si="11"/>
        <v>270</v>
      </c>
      <c r="L132" s="16">
        <f t="shared" ca="1" si="12"/>
        <v>0</v>
      </c>
      <c r="M132" s="17">
        <f t="shared" ca="1" si="13"/>
        <v>1350</v>
      </c>
      <c r="N132" s="17">
        <f t="shared" si="14"/>
        <v>20</v>
      </c>
      <c r="O132" s="17">
        <f t="shared" si="15"/>
        <v>-810</v>
      </c>
      <c r="P132" s="18">
        <f t="shared" ca="1" si="16"/>
        <v>0</v>
      </c>
      <c r="Q132" s="18">
        <f t="shared" ca="1" si="17"/>
        <v>0</v>
      </c>
      <c r="R132" s="19">
        <f t="shared" ca="1" si="18"/>
        <v>560</v>
      </c>
      <c r="S132" s="15">
        <f t="shared" ca="1" si="19"/>
        <v>0</v>
      </c>
    </row>
    <row r="133" spans="9:19">
      <c r="I133" s="15">
        <f t="shared" si="20"/>
        <v>129</v>
      </c>
      <c r="J133" s="16">
        <f t="shared" ca="1" si="21"/>
        <v>297.23615239074803</v>
      </c>
      <c r="K133" s="16">
        <f t="shared" ca="1" si="11"/>
        <v>270</v>
      </c>
      <c r="L133" s="16">
        <f t="shared" ca="1" si="12"/>
        <v>0</v>
      </c>
      <c r="M133" s="17">
        <f t="shared" ca="1" si="13"/>
        <v>1350</v>
      </c>
      <c r="N133" s="17">
        <f t="shared" si="14"/>
        <v>20</v>
      </c>
      <c r="O133" s="17">
        <f t="shared" si="15"/>
        <v>-810</v>
      </c>
      <c r="P133" s="18">
        <f t="shared" ca="1" si="16"/>
        <v>0</v>
      </c>
      <c r="Q133" s="18">
        <f t="shared" ca="1" si="17"/>
        <v>0</v>
      </c>
      <c r="R133" s="19">
        <f t="shared" ca="1" si="18"/>
        <v>560</v>
      </c>
      <c r="S133" s="15">
        <f t="shared" ca="1" si="19"/>
        <v>0</v>
      </c>
    </row>
    <row r="134" spans="9:19">
      <c r="I134" s="15">
        <f t="shared" si="20"/>
        <v>130</v>
      </c>
      <c r="J134" s="16">
        <f t="shared" ca="1" si="21"/>
        <v>239.65423694648189</v>
      </c>
      <c r="K134" s="16">
        <f t="shared" ref="K134:K197" ca="1" si="22">IF(J134&gt;=$D$18,$D$18,$D$18-J134)</f>
        <v>30.345763053518112</v>
      </c>
      <c r="L134" s="16">
        <f t="shared" ref="L134:L197" ca="1" si="23">$D$18-K134</f>
        <v>239.65423694648189</v>
      </c>
      <c r="M134" s="17">
        <f t="shared" ref="M134:M197" ca="1" si="24">K134*5</f>
        <v>151.72881526759056</v>
      </c>
      <c r="N134" s="17">
        <f t="shared" ref="N134:N197" si="25">$D$10</f>
        <v>20</v>
      </c>
      <c r="O134" s="17">
        <f t="shared" ref="O134:O197" si="26">-$D$6*$D$18</f>
        <v>-810</v>
      </c>
      <c r="P134" s="18">
        <f t="shared" ref="P134:P197" ca="1" si="27">-L134*$D$9</f>
        <v>-119.82711847324094</v>
      </c>
      <c r="Q134" s="18">
        <f t="shared" ref="Q134:Q197" ca="1" si="28">L134*($D$6*$D$8)</f>
        <v>359.48135541972283</v>
      </c>
      <c r="R134" s="19">
        <f t="shared" ref="R134:R197" ca="1" si="29">SUM(M134:Q134)</f>
        <v>-398.61694778592755</v>
      </c>
      <c r="S134" s="15">
        <f t="shared" ref="S134:S197" ca="1" si="30">IF(R134&lt;0,1,0)</f>
        <v>1</v>
      </c>
    </row>
    <row r="135" spans="9:19">
      <c r="I135" s="15">
        <f t="shared" ref="I135:I198" si="31">I134+1</f>
        <v>131</v>
      </c>
      <c r="J135" s="16">
        <f t="shared" ref="J135:J198" ca="1" si="32">RAND()*($E$3-$D$3)+$D$3</f>
        <v>203.99058480440146</v>
      </c>
      <c r="K135" s="16">
        <f t="shared" ca="1" si="22"/>
        <v>66.009415195598535</v>
      </c>
      <c r="L135" s="16">
        <f t="shared" ca="1" si="23"/>
        <v>203.99058480440146</v>
      </c>
      <c r="M135" s="17">
        <f t="shared" ca="1" si="24"/>
        <v>330.04707597799268</v>
      </c>
      <c r="N135" s="17">
        <f t="shared" si="25"/>
        <v>20</v>
      </c>
      <c r="O135" s="17">
        <f t="shared" si="26"/>
        <v>-810</v>
      </c>
      <c r="P135" s="18">
        <f t="shared" ca="1" si="27"/>
        <v>-101.99529240220073</v>
      </c>
      <c r="Q135" s="18">
        <f t="shared" ca="1" si="28"/>
        <v>305.9858772066022</v>
      </c>
      <c r="R135" s="19">
        <f t="shared" ca="1" si="29"/>
        <v>-255.96233921760592</v>
      </c>
      <c r="S135" s="15">
        <f t="shared" ca="1" si="30"/>
        <v>1</v>
      </c>
    </row>
    <row r="136" spans="9:19">
      <c r="I136" s="15">
        <f t="shared" si="31"/>
        <v>132</v>
      </c>
      <c r="J136" s="16">
        <f t="shared" ca="1" si="32"/>
        <v>342.12674743731066</v>
      </c>
      <c r="K136" s="16">
        <f t="shared" ca="1" si="22"/>
        <v>270</v>
      </c>
      <c r="L136" s="16">
        <f t="shared" ca="1" si="23"/>
        <v>0</v>
      </c>
      <c r="M136" s="17">
        <f t="shared" ca="1" si="24"/>
        <v>1350</v>
      </c>
      <c r="N136" s="17">
        <f t="shared" si="25"/>
        <v>20</v>
      </c>
      <c r="O136" s="17">
        <f t="shared" si="26"/>
        <v>-810</v>
      </c>
      <c r="P136" s="18">
        <f t="shared" ca="1" si="27"/>
        <v>0</v>
      </c>
      <c r="Q136" s="18">
        <f t="shared" ca="1" si="28"/>
        <v>0</v>
      </c>
      <c r="R136" s="19">
        <f t="shared" ca="1" si="29"/>
        <v>560</v>
      </c>
      <c r="S136" s="15">
        <f t="shared" ca="1" si="30"/>
        <v>0</v>
      </c>
    </row>
    <row r="137" spans="9:19">
      <c r="I137" s="15">
        <f t="shared" si="31"/>
        <v>133</v>
      </c>
      <c r="J137" s="16">
        <f t="shared" ca="1" si="32"/>
        <v>225.71060117166263</v>
      </c>
      <c r="K137" s="16">
        <f t="shared" ca="1" si="22"/>
        <v>44.289398828337369</v>
      </c>
      <c r="L137" s="16">
        <f t="shared" ca="1" si="23"/>
        <v>225.71060117166263</v>
      </c>
      <c r="M137" s="17">
        <f t="shared" ca="1" si="24"/>
        <v>221.44699414168684</v>
      </c>
      <c r="N137" s="17">
        <f t="shared" si="25"/>
        <v>20</v>
      </c>
      <c r="O137" s="17">
        <f t="shared" si="26"/>
        <v>-810</v>
      </c>
      <c r="P137" s="18">
        <f t="shared" ca="1" si="27"/>
        <v>-112.85530058583132</v>
      </c>
      <c r="Q137" s="18">
        <f t="shared" ca="1" si="28"/>
        <v>338.56590175749398</v>
      </c>
      <c r="R137" s="19">
        <f t="shared" ca="1" si="29"/>
        <v>-342.84240468665041</v>
      </c>
      <c r="S137" s="15">
        <f t="shared" ca="1" si="30"/>
        <v>1</v>
      </c>
    </row>
    <row r="138" spans="9:19">
      <c r="I138" s="15">
        <f t="shared" si="31"/>
        <v>134</v>
      </c>
      <c r="J138" s="16">
        <f t="shared" ca="1" si="32"/>
        <v>263.51030014674598</v>
      </c>
      <c r="K138" s="16">
        <f t="shared" ca="1" si="22"/>
        <v>6.4896998532540238</v>
      </c>
      <c r="L138" s="16">
        <f t="shared" ca="1" si="23"/>
        <v>263.51030014674598</v>
      </c>
      <c r="M138" s="17">
        <f t="shared" ca="1" si="24"/>
        <v>32.448499266270119</v>
      </c>
      <c r="N138" s="17">
        <f t="shared" si="25"/>
        <v>20</v>
      </c>
      <c r="O138" s="17">
        <f t="shared" si="26"/>
        <v>-810</v>
      </c>
      <c r="P138" s="18">
        <f t="shared" ca="1" si="27"/>
        <v>-131.75515007337299</v>
      </c>
      <c r="Q138" s="18">
        <f t="shared" ca="1" si="28"/>
        <v>395.26545022011896</v>
      </c>
      <c r="R138" s="19">
        <f t="shared" ca="1" si="29"/>
        <v>-494.0412005869839</v>
      </c>
      <c r="S138" s="15">
        <f t="shared" ca="1" si="30"/>
        <v>1</v>
      </c>
    </row>
    <row r="139" spans="9:19">
      <c r="I139" s="15">
        <f t="shared" si="31"/>
        <v>135</v>
      </c>
      <c r="J139" s="16">
        <f t="shared" ca="1" si="32"/>
        <v>263.57778814426854</v>
      </c>
      <c r="K139" s="16">
        <f t="shared" ca="1" si="22"/>
        <v>6.4222118557314616</v>
      </c>
      <c r="L139" s="16">
        <f t="shared" ca="1" si="23"/>
        <v>263.57778814426854</v>
      </c>
      <c r="M139" s="17">
        <f t="shared" ca="1" si="24"/>
        <v>32.111059278657308</v>
      </c>
      <c r="N139" s="17">
        <f t="shared" si="25"/>
        <v>20</v>
      </c>
      <c r="O139" s="17">
        <f t="shared" si="26"/>
        <v>-810</v>
      </c>
      <c r="P139" s="18">
        <f t="shared" ca="1" si="27"/>
        <v>-131.78889407213427</v>
      </c>
      <c r="Q139" s="18">
        <f t="shared" ca="1" si="28"/>
        <v>395.36668221640281</v>
      </c>
      <c r="R139" s="19">
        <f t="shared" ca="1" si="29"/>
        <v>-494.3111525770741</v>
      </c>
      <c r="S139" s="15">
        <f t="shared" ca="1" si="30"/>
        <v>1</v>
      </c>
    </row>
    <row r="140" spans="9:19">
      <c r="I140" s="15">
        <f t="shared" si="31"/>
        <v>136</v>
      </c>
      <c r="J140" s="16">
        <f t="shared" ca="1" si="32"/>
        <v>353.41818350489223</v>
      </c>
      <c r="K140" s="16">
        <f t="shared" ca="1" si="22"/>
        <v>270</v>
      </c>
      <c r="L140" s="16">
        <f t="shared" ca="1" si="23"/>
        <v>0</v>
      </c>
      <c r="M140" s="17">
        <f t="shared" ca="1" si="24"/>
        <v>1350</v>
      </c>
      <c r="N140" s="17">
        <f t="shared" si="25"/>
        <v>20</v>
      </c>
      <c r="O140" s="17">
        <f t="shared" si="26"/>
        <v>-810</v>
      </c>
      <c r="P140" s="18">
        <f t="shared" ca="1" si="27"/>
        <v>0</v>
      </c>
      <c r="Q140" s="18">
        <f t="shared" ca="1" si="28"/>
        <v>0</v>
      </c>
      <c r="R140" s="19">
        <f t="shared" ca="1" si="29"/>
        <v>560</v>
      </c>
      <c r="S140" s="15">
        <f t="shared" ca="1" si="30"/>
        <v>0</v>
      </c>
    </row>
    <row r="141" spans="9:19">
      <c r="I141" s="15">
        <f t="shared" si="31"/>
        <v>137</v>
      </c>
      <c r="J141" s="16">
        <f t="shared" ca="1" si="32"/>
        <v>401.25667278047388</v>
      </c>
      <c r="K141" s="16">
        <f t="shared" ca="1" si="22"/>
        <v>270</v>
      </c>
      <c r="L141" s="16">
        <f t="shared" ca="1" si="23"/>
        <v>0</v>
      </c>
      <c r="M141" s="17">
        <f t="shared" ca="1" si="24"/>
        <v>1350</v>
      </c>
      <c r="N141" s="17">
        <f t="shared" si="25"/>
        <v>20</v>
      </c>
      <c r="O141" s="17">
        <f t="shared" si="26"/>
        <v>-810</v>
      </c>
      <c r="P141" s="18">
        <f t="shared" ca="1" si="27"/>
        <v>0</v>
      </c>
      <c r="Q141" s="18">
        <f t="shared" ca="1" si="28"/>
        <v>0</v>
      </c>
      <c r="R141" s="19">
        <f t="shared" ca="1" si="29"/>
        <v>560</v>
      </c>
      <c r="S141" s="15">
        <f t="shared" ca="1" si="30"/>
        <v>0</v>
      </c>
    </row>
    <row r="142" spans="9:19">
      <c r="I142" s="15">
        <f t="shared" si="31"/>
        <v>138</v>
      </c>
      <c r="J142" s="16">
        <f t="shared" ca="1" si="32"/>
        <v>338.43767813079455</v>
      </c>
      <c r="K142" s="16">
        <f t="shared" ca="1" si="22"/>
        <v>270</v>
      </c>
      <c r="L142" s="16">
        <f t="shared" ca="1" si="23"/>
        <v>0</v>
      </c>
      <c r="M142" s="17">
        <f t="shared" ca="1" si="24"/>
        <v>1350</v>
      </c>
      <c r="N142" s="17">
        <f t="shared" si="25"/>
        <v>20</v>
      </c>
      <c r="O142" s="17">
        <f t="shared" si="26"/>
        <v>-810</v>
      </c>
      <c r="P142" s="18">
        <f t="shared" ca="1" si="27"/>
        <v>0</v>
      </c>
      <c r="Q142" s="18">
        <f t="shared" ca="1" si="28"/>
        <v>0</v>
      </c>
      <c r="R142" s="19">
        <f t="shared" ca="1" si="29"/>
        <v>560</v>
      </c>
      <c r="S142" s="15">
        <f t="shared" ca="1" si="30"/>
        <v>0</v>
      </c>
    </row>
    <row r="143" spans="9:19">
      <c r="I143" s="15">
        <f t="shared" si="31"/>
        <v>139</v>
      </c>
      <c r="J143" s="16">
        <f t="shared" ca="1" si="32"/>
        <v>221.25601805940408</v>
      </c>
      <c r="K143" s="16">
        <f t="shared" ca="1" si="22"/>
        <v>48.743981940595916</v>
      </c>
      <c r="L143" s="16">
        <f t="shared" ca="1" si="23"/>
        <v>221.25601805940408</v>
      </c>
      <c r="M143" s="17">
        <f t="shared" ca="1" si="24"/>
        <v>243.71990970297958</v>
      </c>
      <c r="N143" s="17">
        <f t="shared" si="25"/>
        <v>20</v>
      </c>
      <c r="O143" s="17">
        <f t="shared" si="26"/>
        <v>-810</v>
      </c>
      <c r="P143" s="18">
        <f t="shared" ca="1" si="27"/>
        <v>-110.62800902970204</v>
      </c>
      <c r="Q143" s="18">
        <f t="shared" ca="1" si="28"/>
        <v>331.8840270891061</v>
      </c>
      <c r="R143" s="19">
        <f t="shared" ca="1" si="29"/>
        <v>-325.02407223761645</v>
      </c>
      <c r="S143" s="15">
        <f t="shared" ca="1" si="30"/>
        <v>1</v>
      </c>
    </row>
    <row r="144" spans="9:19">
      <c r="I144" s="15">
        <f t="shared" si="31"/>
        <v>140</v>
      </c>
      <c r="J144" s="16">
        <f t="shared" ca="1" si="32"/>
        <v>363.21691741041684</v>
      </c>
      <c r="K144" s="16">
        <f t="shared" ca="1" si="22"/>
        <v>270</v>
      </c>
      <c r="L144" s="16">
        <f t="shared" ca="1" si="23"/>
        <v>0</v>
      </c>
      <c r="M144" s="17">
        <f t="shared" ca="1" si="24"/>
        <v>1350</v>
      </c>
      <c r="N144" s="17">
        <f t="shared" si="25"/>
        <v>20</v>
      </c>
      <c r="O144" s="17">
        <f t="shared" si="26"/>
        <v>-810</v>
      </c>
      <c r="P144" s="18">
        <f t="shared" ca="1" si="27"/>
        <v>0</v>
      </c>
      <c r="Q144" s="18">
        <f t="shared" ca="1" si="28"/>
        <v>0</v>
      </c>
      <c r="R144" s="19">
        <f t="shared" ca="1" si="29"/>
        <v>560</v>
      </c>
      <c r="S144" s="15">
        <f t="shared" ca="1" si="30"/>
        <v>0</v>
      </c>
    </row>
    <row r="145" spans="9:19">
      <c r="I145" s="15">
        <f t="shared" si="31"/>
        <v>141</v>
      </c>
      <c r="J145" s="16">
        <f t="shared" ca="1" si="32"/>
        <v>280.37307412199556</v>
      </c>
      <c r="K145" s="16">
        <f t="shared" ca="1" si="22"/>
        <v>270</v>
      </c>
      <c r="L145" s="16">
        <f t="shared" ca="1" si="23"/>
        <v>0</v>
      </c>
      <c r="M145" s="17">
        <f t="shared" ca="1" si="24"/>
        <v>1350</v>
      </c>
      <c r="N145" s="17">
        <f t="shared" si="25"/>
        <v>20</v>
      </c>
      <c r="O145" s="17">
        <f t="shared" si="26"/>
        <v>-810</v>
      </c>
      <c r="P145" s="18">
        <f t="shared" ca="1" si="27"/>
        <v>0</v>
      </c>
      <c r="Q145" s="18">
        <f t="shared" ca="1" si="28"/>
        <v>0</v>
      </c>
      <c r="R145" s="19">
        <f t="shared" ca="1" si="29"/>
        <v>560</v>
      </c>
      <c r="S145" s="15">
        <f t="shared" ca="1" si="30"/>
        <v>0</v>
      </c>
    </row>
    <row r="146" spans="9:19">
      <c r="I146" s="15">
        <f t="shared" si="31"/>
        <v>142</v>
      </c>
      <c r="J146" s="16">
        <f t="shared" ca="1" si="32"/>
        <v>283.6472802959903</v>
      </c>
      <c r="K146" s="16">
        <f t="shared" ca="1" si="22"/>
        <v>270</v>
      </c>
      <c r="L146" s="16">
        <f t="shared" ca="1" si="23"/>
        <v>0</v>
      </c>
      <c r="M146" s="17">
        <f t="shared" ca="1" si="24"/>
        <v>1350</v>
      </c>
      <c r="N146" s="17">
        <f t="shared" si="25"/>
        <v>20</v>
      </c>
      <c r="O146" s="17">
        <f t="shared" si="26"/>
        <v>-810</v>
      </c>
      <c r="P146" s="18">
        <f t="shared" ca="1" si="27"/>
        <v>0</v>
      </c>
      <c r="Q146" s="18">
        <f t="shared" ca="1" si="28"/>
        <v>0</v>
      </c>
      <c r="R146" s="19">
        <f t="shared" ca="1" si="29"/>
        <v>560</v>
      </c>
      <c r="S146" s="15">
        <f t="shared" ca="1" si="30"/>
        <v>0</v>
      </c>
    </row>
    <row r="147" spans="9:19">
      <c r="I147" s="15">
        <f t="shared" si="31"/>
        <v>143</v>
      </c>
      <c r="J147" s="16">
        <f t="shared" ca="1" si="32"/>
        <v>185.65468505874446</v>
      </c>
      <c r="K147" s="16">
        <f t="shared" ca="1" si="22"/>
        <v>84.345314941255538</v>
      </c>
      <c r="L147" s="16">
        <f t="shared" ca="1" si="23"/>
        <v>185.65468505874446</v>
      </c>
      <c r="M147" s="17">
        <f t="shared" ca="1" si="24"/>
        <v>421.72657470627769</v>
      </c>
      <c r="N147" s="17">
        <f t="shared" si="25"/>
        <v>20</v>
      </c>
      <c r="O147" s="17">
        <f t="shared" si="26"/>
        <v>-810</v>
      </c>
      <c r="P147" s="18">
        <f t="shared" ca="1" si="27"/>
        <v>-92.827342529372231</v>
      </c>
      <c r="Q147" s="18">
        <f t="shared" ca="1" si="28"/>
        <v>278.48202758811669</v>
      </c>
      <c r="R147" s="19">
        <f t="shared" ca="1" si="29"/>
        <v>-182.61874023497785</v>
      </c>
      <c r="S147" s="15">
        <f t="shared" ca="1" si="30"/>
        <v>1</v>
      </c>
    </row>
    <row r="148" spans="9:19">
      <c r="I148" s="15">
        <f t="shared" si="31"/>
        <v>144</v>
      </c>
      <c r="J148" s="16">
        <f t="shared" ca="1" si="32"/>
        <v>140.42599635412009</v>
      </c>
      <c r="K148" s="16">
        <f t="shared" ca="1" si="22"/>
        <v>129.57400364587991</v>
      </c>
      <c r="L148" s="16">
        <f t="shared" ca="1" si="23"/>
        <v>140.42599635412009</v>
      </c>
      <c r="M148" s="17">
        <f t="shared" ca="1" si="24"/>
        <v>647.87001822939953</v>
      </c>
      <c r="N148" s="17">
        <f t="shared" si="25"/>
        <v>20</v>
      </c>
      <c r="O148" s="17">
        <f t="shared" si="26"/>
        <v>-810</v>
      </c>
      <c r="P148" s="18">
        <f t="shared" ca="1" si="27"/>
        <v>-70.212998177060044</v>
      </c>
      <c r="Q148" s="18">
        <f t="shared" ca="1" si="28"/>
        <v>210.63899453118012</v>
      </c>
      <c r="R148" s="19">
        <f t="shared" ca="1" si="29"/>
        <v>-1.7039854164804069</v>
      </c>
      <c r="S148" s="15">
        <f t="shared" ca="1" si="30"/>
        <v>1</v>
      </c>
    </row>
    <row r="149" spans="9:19">
      <c r="I149" s="15">
        <f t="shared" si="31"/>
        <v>145</v>
      </c>
      <c r="J149" s="16">
        <f t="shared" ca="1" si="32"/>
        <v>168.95932346363614</v>
      </c>
      <c r="K149" s="16">
        <f t="shared" ca="1" si="22"/>
        <v>101.04067653636386</v>
      </c>
      <c r="L149" s="16">
        <f t="shared" ca="1" si="23"/>
        <v>168.95932346363614</v>
      </c>
      <c r="M149" s="17">
        <f t="shared" ca="1" si="24"/>
        <v>505.20338268181933</v>
      </c>
      <c r="N149" s="17">
        <f t="shared" si="25"/>
        <v>20</v>
      </c>
      <c r="O149" s="17">
        <f t="shared" si="26"/>
        <v>-810</v>
      </c>
      <c r="P149" s="18">
        <f t="shared" ca="1" si="27"/>
        <v>-84.479661731818069</v>
      </c>
      <c r="Q149" s="18">
        <f t="shared" ca="1" si="28"/>
        <v>253.43898519545422</v>
      </c>
      <c r="R149" s="19">
        <f t="shared" ca="1" si="29"/>
        <v>-115.8372938545445</v>
      </c>
      <c r="S149" s="15">
        <f t="shared" ca="1" si="30"/>
        <v>1</v>
      </c>
    </row>
    <row r="150" spans="9:19">
      <c r="I150" s="15">
        <f t="shared" si="31"/>
        <v>146</v>
      </c>
      <c r="J150" s="16">
        <f t="shared" ca="1" si="32"/>
        <v>391.40522471931507</v>
      </c>
      <c r="K150" s="16">
        <f t="shared" ca="1" si="22"/>
        <v>270</v>
      </c>
      <c r="L150" s="16">
        <f t="shared" ca="1" si="23"/>
        <v>0</v>
      </c>
      <c r="M150" s="17">
        <f t="shared" ca="1" si="24"/>
        <v>1350</v>
      </c>
      <c r="N150" s="17">
        <f t="shared" si="25"/>
        <v>20</v>
      </c>
      <c r="O150" s="17">
        <f t="shared" si="26"/>
        <v>-810</v>
      </c>
      <c r="P150" s="18">
        <f t="shared" ca="1" si="27"/>
        <v>0</v>
      </c>
      <c r="Q150" s="18">
        <f t="shared" ca="1" si="28"/>
        <v>0</v>
      </c>
      <c r="R150" s="19">
        <f t="shared" ca="1" si="29"/>
        <v>560</v>
      </c>
      <c r="S150" s="15">
        <f t="shared" ca="1" si="30"/>
        <v>0</v>
      </c>
    </row>
    <row r="151" spans="9:19">
      <c r="I151" s="15">
        <f t="shared" si="31"/>
        <v>147</v>
      </c>
      <c r="J151" s="16">
        <f t="shared" ca="1" si="32"/>
        <v>185.18033876299285</v>
      </c>
      <c r="K151" s="16">
        <f t="shared" ca="1" si="22"/>
        <v>84.819661237007153</v>
      </c>
      <c r="L151" s="16">
        <f t="shared" ca="1" si="23"/>
        <v>185.18033876299285</v>
      </c>
      <c r="M151" s="17">
        <f t="shared" ca="1" si="24"/>
        <v>424.09830618503577</v>
      </c>
      <c r="N151" s="17">
        <f t="shared" si="25"/>
        <v>20</v>
      </c>
      <c r="O151" s="17">
        <f t="shared" si="26"/>
        <v>-810</v>
      </c>
      <c r="P151" s="18">
        <f t="shared" ca="1" si="27"/>
        <v>-92.590169381496423</v>
      </c>
      <c r="Q151" s="18">
        <f t="shared" ca="1" si="28"/>
        <v>277.77050814448927</v>
      </c>
      <c r="R151" s="19">
        <f t="shared" ca="1" si="29"/>
        <v>-180.72135505197139</v>
      </c>
      <c r="S151" s="15">
        <f t="shared" ca="1" si="30"/>
        <v>1</v>
      </c>
    </row>
    <row r="152" spans="9:19">
      <c r="I152" s="15">
        <f t="shared" si="31"/>
        <v>148</v>
      </c>
      <c r="J152" s="16">
        <f t="shared" ca="1" si="32"/>
        <v>395.46856678968095</v>
      </c>
      <c r="K152" s="16">
        <f t="shared" ca="1" si="22"/>
        <v>270</v>
      </c>
      <c r="L152" s="16">
        <f t="shared" ca="1" si="23"/>
        <v>0</v>
      </c>
      <c r="M152" s="17">
        <f t="shared" ca="1" si="24"/>
        <v>1350</v>
      </c>
      <c r="N152" s="17">
        <f t="shared" si="25"/>
        <v>20</v>
      </c>
      <c r="O152" s="17">
        <f t="shared" si="26"/>
        <v>-810</v>
      </c>
      <c r="P152" s="18">
        <f t="shared" ca="1" si="27"/>
        <v>0</v>
      </c>
      <c r="Q152" s="18">
        <f t="shared" ca="1" si="28"/>
        <v>0</v>
      </c>
      <c r="R152" s="19">
        <f t="shared" ca="1" si="29"/>
        <v>560</v>
      </c>
      <c r="S152" s="15">
        <f t="shared" ca="1" si="30"/>
        <v>0</v>
      </c>
    </row>
    <row r="153" spans="9:19">
      <c r="I153" s="15">
        <f t="shared" si="31"/>
        <v>149</v>
      </c>
      <c r="J153" s="16">
        <f t="shared" ca="1" si="32"/>
        <v>180.64686161894844</v>
      </c>
      <c r="K153" s="16">
        <f t="shared" ca="1" si="22"/>
        <v>89.353138381051565</v>
      </c>
      <c r="L153" s="16">
        <f t="shared" ca="1" si="23"/>
        <v>180.64686161894844</v>
      </c>
      <c r="M153" s="17">
        <f t="shared" ca="1" si="24"/>
        <v>446.76569190525782</v>
      </c>
      <c r="N153" s="17">
        <f t="shared" si="25"/>
        <v>20</v>
      </c>
      <c r="O153" s="17">
        <f t="shared" si="26"/>
        <v>-810</v>
      </c>
      <c r="P153" s="18">
        <f t="shared" ca="1" si="27"/>
        <v>-90.323430809474218</v>
      </c>
      <c r="Q153" s="18">
        <f t="shared" ca="1" si="28"/>
        <v>270.97029242842268</v>
      </c>
      <c r="R153" s="19">
        <f t="shared" ca="1" si="29"/>
        <v>-162.58744647579374</v>
      </c>
      <c r="S153" s="15">
        <f t="shared" ca="1" si="30"/>
        <v>1</v>
      </c>
    </row>
    <row r="154" spans="9:19">
      <c r="I154" s="15">
        <f t="shared" si="31"/>
        <v>150</v>
      </c>
      <c r="J154" s="16">
        <f t="shared" ca="1" si="32"/>
        <v>390.54651159444882</v>
      </c>
      <c r="K154" s="16">
        <f t="shared" ca="1" si="22"/>
        <v>270</v>
      </c>
      <c r="L154" s="16">
        <f t="shared" ca="1" si="23"/>
        <v>0</v>
      </c>
      <c r="M154" s="17">
        <f t="shared" ca="1" si="24"/>
        <v>1350</v>
      </c>
      <c r="N154" s="17">
        <f t="shared" si="25"/>
        <v>20</v>
      </c>
      <c r="O154" s="17">
        <f t="shared" si="26"/>
        <v>-810</v>
      </c>
      <c r="P154" s="18">
        <f t="shared" ca="1" si="27"/>
        <v>0</v>
      </c>
      <c r="Q154" s="18">
        <f t="shared" ca="1" si="28"/>
        <v>0</v>
      </c>
      <c r="R154" s="19">
        <f t="shared" ca="1" si="29"/>
        <v>560</v>
      </c>
      <c r="S154" s="15">
        <f t="shared" ca="1" si="30"/>
        <v>0</v>
      </c>
    </row>
    <row r="155" spans="9:19">
      <c r="I155" s="15">
        <f t="shared" si="31"/>
        <v>151</v>
      </c>
      <c r="J155" s="16">
        <f t="shared" ca="1" si="32"/>
        <v>124.76546196703833</v>
      </c>
      <c r="K155" s="16">
        <f t="shared" ca="1" si="22"/>
        <v>145.23453803296167</v>
      </c>
      <c r="L155" s="16">
        <f t="shared" ca="1" si="23"/>
        <v>124.76546196703833</v>
      </c>
      <c r="M155" s="17">
        <f t="shared" ca="1" si="24"/>
        <v>726.17269016480827</v>
      </c>
      <c r="N155" s="17">
        <f t="shared" si="25"/>
        <v>20</v>
      </c>
      <c r="O155" s="17">
        <f t="shared" si="26"/>
        <v>-810</v>
      </c>
      <c r="P155" s="18">
        <f t="shared" ca="1" si="27"/>
        <v>-62.382730983519167</v>
      </c>
      <c r="Q155" s="18">
        <f t="shared" ca="1" si="28"/>
        <v>187.1481929505575</v>
      </c>
      <c r="R155" s="19">
        <f t="shared" ca="1" si="29"/>
        <v>60.938152131846607</v>
      </c>
      <c r="S155" s="15">
        <f t="shared" ca="1" si="30"/>
        <v>0</v>
      </c>
    </row>
    <row r="156" spans="9:19">
      <c r="I156" s="15">
        <f t="shared" si="31"/>
        <v>152</v>
      </c>
      <c r="J156" s="16">
        <f t="shared" ca="1" si="32"/>
        <v>192.47354976891518</v>
      </c>
      <c r="K156" s="16">
        <f t="shared" ca="1" si="22"/>
        <v>77.526450231084823</v>
      </c>
      <c r="L156" s="16">
        <f t="shared" ca="1" si="23"/>
        <v>192.47354976891518</v>
      </c>
      <c r="M156" s="17">
        <f t="shared" ca="1" si="24"/>
        <v>387.63225115542411</v>
      </c>
      <c r="N156" s="17">
        <f t="shared" si="25"/>
        <v>20</v>
      </c>
      <c r="O156" s="17">
        <f t="shared" si="26"/>
        <v>-810</v>
      </c>
      <c r="P156" s="18">
        <f t="shared" ca="1" si="27"/>
        <v>-96.236774884457589</v>
      </c>
      <c r="Q156" s="18">
        <f t="shared" ca="1" si="28"/>
        <v>288.71032465337277</v>
      </c>
      <c r="R156" s="19">
        <f t="shared" ca="1" si="29"/>
        <v>-209.89419907566071</v>
      </c>
      <c r="S156" s="15">
        <f t="shared" ca="1" si="30"/>
        <v>1</v>
      </c>
    </row>
    <row r="157" spans="9:19">
      <c r="I157" s="15">
        <f t="shared" si="31"/>
        <v>153</v>
      </c>
      <c r="J157" s="16">
        <f t="shared" ca="1" si="32"/>
        <v>170.47906534473515</v>
      </c>
      <c r="K157" s="16">
        <f t="shared" ca="1" si="22"/>
        <v>99.520934655264853</v>
      </c>
      <c r="L157" s="16">
        <f t="shared" ca="1" si="23"/>
        <v>170.47906534473515</v>
      </c>
      <c r="M157" s="17">
        <f t="shared" ca="1" si="24"/>
        <v>497.60467327632426</v>
      </c>
      <c r="N157" s="17">
        <f t="shared" si="25"/>
        <v>20</v>
      </c>
      <c r="O157" s="17">
        <f t="shared" si="26"/>
        <v>-810</v>
      </c>
      <c r="P157" s="18">
        <f t="shared" ca="1" si="27"/>
        <v>-85.239532672367574</v>
      </c>
      <c r="Q157" s="18">
        <f t="shared" ca="1" si="28"/>
        <v>255.71859801710272</v>
      </c>
      <c r="R157" s="19">
        <f t="shared" ca="1" si="29"/>
        <v>-121.9162613789405</v>
      </c>
      <c r="S157" s="15">
        <f t="shared" ca="1" si="30"/>
        <v>1</v>
      </c>
    </row>
    <row r="158" spans="9:19">
      <c r="I158" s="15">
        <f t="shared" si="31"/>
        <v>154</v>
      </c>
      <c r="J158" s="16">
        <f t="shared" ca="1" si="32"/>
        <v>377.57093171265382</v>
      </c>
      <c r="K158" s="16">
        <f t="shared" ca="1" si="22"/>
        <v>270</v>
      </c>
      <c r="L158" s="16">
        <f t="shared" ca="1" si="23"/>
        <v>0</v>
      </c>
      <c r="M158" s="17">
        <f t="shared" ca="1" si="24"/>
        <v>1350</v>
      </c>
      <c r="N158" s="17">
        <f t="shared" si="25"/>
        <v>20</v>
      </c>
      <c r="O158" s="17">
        <f t="shared" si="26"/>
        <v>-810</v>
      </c>
      <c r="P158" s="18">
        <f t="shared" ca="1" si="27"/>
        <v>0</v>
      </c>
      <c r="Q158" s="18">
        <f t="shared" ca="1" si="28"/>
        <v>0</v>
      </c>
      <c r="R158" s="19">
        <f t="shared" ca="1" si="29"/>
        <v>560</v>
      </c>
      <c r="S158" s="15">
        <f t="shared" ca="1" si="30"/>
        <v>0</v>
      </c>
    </row>
    <row r="159" spans="9:19">
      <c r="I159" s="15">
        <f t="shared" si="31"/>
        <v>155</v>
      </c>
      <c r="J159" s="16">
        <f t="shared" ca="1" si="32"/>
        <v>142.77480749188587</v>
      </c>
      <c r="K159" s="16">
        <f t="shared" ca="1" si="22"/>
        <v>127.22519250811413</v>
      </c>
      <c r="L159" s="16">
        <f t="shared" ca="1" si="23"/>
        <v>142.77480749188587</v>
      </c>
      <c r="M159" s="17">
        <f t="shared" ca="1" si="24"/>
        <v>636.12596254057064</v>
      </c>
      <c r="N159" s="17">
        <f t="shared" si="25"/>
        <v>20</v>
      </c>
      <c r="O159" s="17">
        <f t="shared" si="26"/>
        <v>-810</v>
      </c>
      <c r="P159" s="18">
        <f t="shared" ca="1" si="27"/>
        <v>-71.387403745942933</v>
      </c>
      <c r="Q159" s="18">
        <f t="shared" ca="1" si="28"/>
        <v>214.16221123782879</v>
      </c>
      <c r="R159" s="19">
        <f t="shared" ca="1" si="29"/>
        <v>-11.099229967543522</v>
      </c>
      <c r="S159" s="15">
        <f t="shared" ca="1" si="30"/>
        <v>1</v>
      </c>
    </row>
    <row r="160" spans="9:19">
      <c r="I160" s="15">
        <f t="shared" si="31"/>
        <v>156</v>
      </c>
      <c r="J160" s="16">
        <f t="shared" ca="1" si="32"/>
        <v>246.66923118172846</v>
      </c>
      <c r="K160" s="16">
        <f t="shared" ca="1" si="22"/>
        <v>23.330768818271537</v>
      </c>
      <c r="L160" s="16">
        <f t="shared" ca="1" si="23"/>
        <v>246.66923118172846</v>
      </c>
      <c r="M160" s="17">
        <f t="shared" ca="1" si="24"/>
        <v>116.65384409135768</v>
      </c>
      <c r="N160" s="17">
        <f t="shared" si="25"/>
        <v>20</v>
      </c>
      <c r="O160" s="17">
        <f t="shared" si="26"/>
        <v>-810</v>
      </c>
      <c r="P160" s="18">
        <f t="shared" ca="1" si="27"/>
        <v>-123.33461559086423</v>
      </c>
      <c r="Q160" s="18">
        <f t="shared" ca="1" si="28"/>
        <v>370.00384677259268</v>
      </c>
      <c r="R160" s="19">
        <f t="shared" ca="1" si="29"/>
        <v>-426.67692472691391</v>
      </c>
      <c r="S160" s="15">
        <f t="shared" ca="1" si="30"/>
        <v>1</v>
      </c>
    </row>
    <row r="161" spans="9:19">
      <c r="I161" s="15">
        <f t="shared" si="31"/>
        <v>157</v>
      </c>
      <c r="J161" s="16">
        <f t="shared" ca="1" si="32"/>
        <v>371.06135632606635</v>
      </c>
      <c r="K161" s="16">
        <f t="shared" ca="1" si="22"/>
        <v>270</v>
      </c>
      <c r="L161" s="16">
        <f t="shared" ca="1" si="23"/>
        <v>0</v>
      </c>
      <c r="M161" s="17">
        <f t="shared" ca="1" si="24"/>
        <v>1350</v>
      </c>
      <c r="N161" s="17">
        <f t="shared" si="25"/>
        <v>20</v>
      </c>
      <c r="O161" s="17">
        <f t="shared" si="26"/>
        <v>-810</v>
      </c>
      <c r="P161" s="18">
        <f t="shared" ca="1" si="27"/>
        <v>0</v>
      </c>
      <c r="Q161" s="18">
        <f t="shared" ca="1" si="28"/>
        <v>0</v>
      </c>
      <c r="R161" s="19">
        <f t="shared" ca="1" si="29"/>
        <v>560</v>
      </c>
      <c r="S161" s="15">
        <f t="shared" ca="1" si="30"/>
        <v>0</v>
      </c>
    </row>
    <row r="162" spans="9:19">
      <c r="I162" s="15">
        <f t="shared" si="31"/>
        <v>158</v>
      </c>
      <c r="J162" s="16">
        <f t="shared" ca="1" si="32"/>
        <v>378.12568046199988</v>
      </c>
      <c r="K162" s="16">
        <f t="shared" ca="1" si="22"/>
        <v>270</v>
      </c>
      <c r="L162" s="16">
        <f t="shared" ca="1" si="23"/>
        <v>0</v>
      </c>
      <c r="M162" s="17">
        <f t="shared" ca="1" si="24"/>
        <v>1350</v>
      </c>
      <c r="N162" s="17">
        <f t="shared" si="25"/>
        <v>20</v>
      </c>
      <c r="O162" s="17">
        <f t="shared" si="26"/>
        <v>-810</v>
      </c>
      <c r="P162" s="18">
        <f t="shared" ca="1" si="27"/>
        <v>0</v>
      </c>
      <c r="Q162" s="18">
        <f t="shared" ca="1" si="28"/>
        <v>0</v>
      </c>
      <c r="R162" s="19">
        <f t="shared" ca="1" si="29"/>
        <v>560</v>
      </c>
      <c r="S162" s="15">
        <f t="shared" ca="1" si="30"/>
        <v>0</v>
      </c>
    </row>
    <row r="163" spans="9:19">
      <c r="I163" s="15">
        <f t="shared" si="31"/>
        <v>159</v>
      </c>
      <c r="J163" s="16">
        <f t="shared" ca="1" si="32"/>
        <v>168.6009173368449</v>
      </c>
      <c r="K163" s="16">
        <f t="shared" ca="1" si="22"/>
        <v>101.3990826631551</v>
      </c>
      <c r="L163" s="16">
        <f t="shared" ca="1" si="23"/>
        <v>168.6009173368449</v>
      </c>
      <c r="M163" s="17">
        <f t="shared" ca="1" si="24"/>
        <v>506.99541331577552</v>
      </c>
      <c r="N163" s="17">
        <f t="shared" si="25"/>
        <v>20</v>
      </c>
      <c r="O163" s="17">
        <f t="shared" si="26"/>
        <v>-810</v>
      </c>
      <c r="P163" s="18">
        <f t="shared" ca="1" si="27"/>
        <v>-84.300458668422451</v>
      </c>
      <c r="Q163" s="18">
        <f t="shared" ca="1" si="28"/>
        <v>252.90137600526737</v>
      </c>
      <c r="R163" s="19">
        <f t="shared" ca="1" si="29"/>
        <v>-114.40366934737955</v>
      </c>
      <c r="S163" s="15">
        <f t="shared" ca="1" si="30"/>
        <v>1</v>
      </c>
    </row>
    <row r="164" spans="9:19">
      <c r="I164" s="15">
        <f t="shared" si="31"/>
        <v>160</v>
      </c>
      <c r="J164" s="16">
        <f t="shared" ca="1" si="32"/>
        <v>264.45976369633206</v>
      </c>
      <c r="K164" s="16">
        <f t="shared" ca="1" si="22"/>
        <v>5.540236303667939</v>
      </c>
      <c r="L164" s="16">
        <f t="shared" ca="1" si="23"/>
        <v>264.45976369633206</v>
      </c>
      <c r="M164" s="17">
        <f t="shared" ca="1" si="24"/>
        <v>27.701181518339695</v>
      </c>
      <c r="N164" s="17">
        <f t="shared" si="25"/>
        <v>20</v>
      </c>
      <c r="O164" s="17">
        <f t="shared" si="26"/>
        <v>-810</v>
      </c>
      <c r="P164" s="18">
        <f t="shared" ca="1" si="27"/>
        <v>-132.22988184816603</v>
      </c>
      <c r="Q164" s="18">
        <f t="shared" ca="1" si="28"/>
        <v>396.68964554449809</v>
      </c>
      <c r="R164" s="19">
        <f t="shared" ca="1" si="29"/>
        <v>-497.83905478532819</v>
      </c>
      <c r="S164" s="15">
        <f t="shared" ca="1" si="30"/>
        <v>1</v>
      </c>
    </row>
    <row r="165" spans="9:19">
      <c r="I165" s="15">
        <f t="shared" si="31"/>
        <v>161</v>
      </c>
      <c r="J165" s="16">
        <f t="shared" ca="1" si="32"/>
        <v>219.3931586896021</v>
      </c>
      <c r="K165" s="16">
        <f t="shared" ca="1" si="22"/>
        <v>50.606841310397897</v>
      </c>
      <c r="L165" s="16">
        <f t="shared" ca="1" si="23"/>
        <v>219.3931586896021</v>
      </c>
      <c r="M165" s="17">
        <f t="shared" ca="1" si="24"/>
        <v>253.03420655198948</v>
      </c>
      <c r="N165" s="17">
        <f t="shared" si="25"/>
        <v>20</v>
      </c>
      <c r="O165" s="17">
        <f t="shared" si="26"/>
        <v>-810</v>
      </c>
      <c r="P165" s="18">
        <f t="shared" ca="1" si="27"/>
        <v>-109.69657934480105</v>
      </c>
      <c r="Q165" s="18">
        <f t="shared" ca="1" si="28"/>
        <v>329.08973803440313</v>
      </c>
      <c r="R165" s="19">
        <f t="shared" ca="1" si="29"/>
        <v>-317.57263475840853</v>
      </c>
      <c r="S165" s="15">
        <f t="shared" ca="1" si="30"/>
        <v>1</v>
      </c>
    </row>
    <row r="166" spans="9:19">
      <c r="I166" s="15">
        <f t="shared" si="31"/>
        <v>162</v>
      </c>
      <c r="J166" s="16">
        <f t="shared" ca="1" si="32"/>
        <v>250.42337952678901</v>
      </c>
      <c r="K166" s="16">
        <f t="shared" ca="1" si="22"/>
        <v>19.576620473210994</v>
      </c>
      <c r="L166" s="16">
        <f t="shared" ca="1" si="23"/>
        <v>250.42337952678901</v>
      </c>
      <c r="M166" s="17">
        <f t="shared" ca="1" si="24"/>
        <v>97.88310236605497</v>
      </c>
      <c r="N166" s="17">
        <f t="shared" si="25"/>
        <v>20</v>
      </c>
      <c r="O166" s="17">
        <f t="shared" si="26"/>
        <v>-810</v>
      </c>
      <c r="P166" s="18">
        <f t="shared" ca="1" si="27"/>
        <v>-125.2116897633945</v>
      </c>
      <c r="Q166" s="18">
        <f t="shared" ca="1" si="28"/>
        <v>375.63506929018354</v>
      </c>
      <c r="R166" s="19">
        <f t="shared" ca="1" si="29"/>
        <v>-441.69351810715591</v>
      </c>
      <c r="S166" s="15">
        <f t="shared" ca="1" si="30"/>
        <v>1</v>
      </c>
    </row>
    <row r="167" spans="9:19">
      <c r="I167" s="15">
        <f t="shared" si="31"/>
        <v>163</v>
      </c>
      <c r="J167" s="16">
        <f t="shared" ca="1" si="32"/>
        <v>201.33638582873573</v>
      </c>
      <c r="K167" s="16">
        <f t="shared" ca="1" si="22"/>
        <v>68.663614171264271</v>
      </c>
      <c r="L167" s="16">
        <f t="shared" ca="1" si="23"/>
        <v>201.33638582873573</v>
      </c>
      <c r="M167" s="17">
        <f t="shared" ca="1" si="24"/>
        <v>343.31807085632136</v>
      </c>
      <c r="N167" s="17">
        <f t="shared" si="25"/>
        <v>20</v>
      </c>
      <c r="O167" s="17">
        <f t="shared" si="26"/>
        <v>-810</v>
      </c>
      <c r="P167" s="18">
        <f t="shared" ca="1" si="27"/>
        <v>-100.66819291436786</v>
      </c>
      <c r="Q167" s="18">
        <f t="shared" ca="1" si="28"/>
        <v>302.00457874310359</v>
      </c>
      <c r="R167" s="19">
        <f t="shared" ca="1" si="29"/>
        <v>-245.34554331494292</v>
      </c>
      <c r="S167" s="15">
        <f t="shared" ca="1" si="30"/>
        <v>1</v>
      </c>
    </row>
    <row r="168" spans="9:19">
      <c r="I168" s="15">
        <f t="shared" si="31"/>
        <v>164</v>
      </c>
      <c r="J168" s="16">
        <f t="shared" ca="1" si="32"/>
        <v>177.94818243876688</v>
      </c>
      <c r="K168" s="16">
        <f t="shared" ca="1" si="22"/>
        <v>92.051817561233122</v>
      </c>
      <c r="L168" s="16">
        <f t="shared" ca="1" si="23"/>
        <v>177.94818243876688</v>
      </c>
      <c r="M168" s="17">
        <f t="shared" ca="1" si="24"/>
        <v>460.25908780616561</v>
      </c>
      <c r="N168" s="17">
        <f t="shared" si="25"/>
        <v>20</v>
      </c>
      <c r="O168" s="17">
        <f t="shared" si="26"/>
        <v>-810</v>
      </c>
      <c r="P168" s="18">
        <f t="shared" ca="1" si="27"/>
        <v>-88.974091219383439</v>
      </c>
      <c r="Q168" s="18">
        <f t="shared" ca="1" si="28"/>
        <v>266.92227365815029</v>
      </c>
      <c r="R168" s="19">
        <f t="shared" ca="1" si="29"/>
        <v>-151.79272975506751</v>
      </c>
      <c r="S168" s="15">
        <f t="shared" ca="1" si="30"/>
        <v>1</v>
      </c>
    </row>
    <row r="169" spans="9:19">
      <c r="I169" s="15">
        <f t="shared" si="31"/>
        <v>165</v>
      </c>
      <c r="J169" s="16">
        <f t="shared" ca="1" si="32"/>
        <v>160.43683763527338</v>
      </c>
      <c r="K169" s="16">
        <f t="shared" ca="1" si="22"/>
        <v>109.56316236472662</v>
      </c>
      <c r="L169" s="16">
        <f t="shared" ca="1" si="23"/>
        <v>160.43683763527338</v>
      </c>
      <c r="M169" s="17">
        <f t="shared" ca="1" si="24"/>
        <v>547.81581182363311</v>
      </c>
      <c r="N169" s="17">
        <f t="shared" si="25"/>
        <v>20</v>
      </c>
      <c r="O169" s="17">
        <f t="shared" si="26"/>
        <v>-810</v>
      </c>
      <c r="P169" s="18">
        <f t="shared" ca="1" si="27"/>
        <v>-80.218418817636689</v>
      </c>
      <c r="Q169" s="18">
        <f t="shared" ca="1" si="28"/>
        <v>240.65525645291007</v>
      </c>
      <c r="R169" s="19">
        <f t="shared" ca="1" si="29"/>
        <v>-81.74735054109351</v>
      </c>
      <c r="S169" s="15">
        <f t="shared" ca="1" si="30"/>
        <v>1</v>
      </c>
    </row>
    <row r="170" spans="9:19">
      <c r="I170" s="15">
        <f t="shared" si="31"/>
        <v>166</v>
      </c>
      <c r="J170" s="16">
        <f t="shared" ca="1" si="32"/>
        <v>338.0621280628161</v>
      </c>
      <c r="K170" s="16">
        <f t="shared" ca="1" si="22"/>
        <v>270</v>
      </c>
      <c r="L170" s="16">
        <f t="shared" ca="1" si="23"/>
        <v>0</v>
      </c>
      <c r="M170" s="17">
        <f t="shared" ca="1" si="24"/>
        <v>1350</v>
      </c>
      <c r="N170" s="17">
        <f t="shared" si="25"/>
        <v>20</v>
      </c>
      <c r="O170" s="17">
        <f t="shared" si="26"/>
        <v>-810</v>
      </c>
      <c r="P170" s="18">
        <f t="shared" ca="1" si="27"/>
        <v>0</v>
      </c>
      <c r="Q170" s="18">
        <f t="shared" ca="1" si="28"/>
        <v>0</v>
      </c>
      <c r="R170" s="19">
        <f t="shared" ca="1" si="29"/>
        <v>560</v>
      </c>
      <c r="S170" s="15">
        <f t="shared" ca="1" si="30"/>
        <v>0</v>
      </c>
    </row>
    <row r="171" spans="9:19">
      <c r="I171" s="15">
        <f t="shared" si="31"/>
        <v>167</v>
      </c>
      <c r="J171" s="16">
        <f t="shared" ca="1" si="32"/>
        <v>280.15977530513453</v>
      </c>
      <c r="K171" s="16">
        <f t="shared" ca="1" si="22"/>
        <v>270</v>
      </c>
      <c r="L171" s="16">
        <f t="shared" ca="1" si="23"/>
        <v>0</v>
      </c>
      <c r="M171" s="17">
        <f t="shared" ca="1" si="24"/>
        <v>1350</v>
      </c>
      <c r="N171" s="17">
        <f t="shared" si="25"/>
        <v>20</v>
      </c>
      <c r="O171" s="17">
        <f t="shared" si="26"/>
        <v>-810</v>
      </c>
      <c r="P171" s="18">
        <f t="shared" ca="1" si="27"/>
        <v>0</v>
      </c>
      <c r="Q171" s="18">
        <f t="shared" ca="1" si="28"/>
        <v>0</v>
      </c>
      <c r="R171" s="19">
        <f t="shared" ca="1" si="29"/>
        <v>560</v>
      </c>
      <c r="S171" s="15">
        <f t="shared" ca="1" si="30"/>
        <v>0</v>
      </c>
    </row>
    <row r="172" spans="9:19">
      <c r="I172" s="15">
        <f t="shared" si="31"/>
        <v>168</v>
      </c>
      <c r="J172" s="16">
        <f t="shared" ca="1" si="32"/>
        <v>173.36853371130249</v>
      </c>
      <c r="K172" s="16">
        <f t="shared" ca="1" si="22"/>
        <v>96.63146628869751</v>
      </c>
      <c r="L172" s="16">
        <f t="shared" ca="1" si="23"/>
        <v>173.36853371130249</v>
      </c>
      <c r="M172" s="17">
        <f t="shared" ca="1" si="24"/>
        <v>483.15733144348758</v>
      </c>
      <c r="N172" s="17">
        <f t="shared" si="25"/>
        <v>20</v>
      </c>
      <c r="O172" s="17">
        <f t="shared" si="26"/>
        <v>-810</v>
      </c>
      <c r="P172" s="18">
        <f t="shared" ca="1" si="27"/>
        <v>-86.684266855651245</v>
      </c>
      <c r="Q172" s="18">
        <f t="shared" ca="1" si="28"/>
        <v>260.05280056695375</v>
      </c>
      <c r="R172" s="19">
        <f t="shared" ca="1" si="29"/>
        <v>-133.4741348452099</v>
      </c>
      <c r="S172" s="15">
        <f t="shared" ca="1" si="30"/>
        <v>1</v>
      </c>
    </row>
    <row r="173" spans="9:19">
      <c r="I173" s="15">
        <f t="shared" si="31"/>
        <v>169</v>
      </c>
      <c r="J173" s="16">
        <f t="shared" ca="1" si="32"/>
        <v>144.01131953085613</v>
      </c>
      <c r="K173" s="16">
        <f t="shared" ca="1" si="22"/>
        <v>125.98868046914387</v>
      </c>
      <c r="L173" s="16">
        <f t="shared" ca="1" si="23"/>
        <v>144.01131953085613</v>
      </c>
      <c r="M173" s="17">
        <f t="shared" ca="1" si="24"/>
        <v>629.94340234571939</v>
      </c>
      <c r="N173" s="17">
        <f t="shared" si="25"/>
        <v>20</v>
      </c>
      <c r="O173" s="17">
        <f t="shared" si="26"/>
        <v>-810</v>
      </c>
      <c r="P173" s="18">
        <f t="shared" ca="1" si="27"/>
        <v>-72.005659765428064</v>
      </c>
      <c r="Q173" s="18">
        <f t="shared" ca="1" si="28"/>
        <v>216.01697929628421</v>
      </c>
      <c r="R173" s="19">
        <f t="shared" ca="1" si="29"/>
        <v>-16.045278123424453</v>
      </c>
      <c r="S173" s="15">
        <f t="shared" ca="1" si="30"/>
        <v>1</v>
      </c>
    </row>
    <row r="174" spans="9:19">
      <c r="I174" s="15">
        <f t="shared" si="31"/>
        <v>170</v>
      </c>
      <c r="J174" s="16">
        <f t="shared" ca="1" si="32"/>
        <v>268.72727029850057</v>
      </c>
      <c r="K174" s="16">
        <f t="shared" ca="1" si="22"/>
        <v>1.2727297014994292</v>
      </c>
      <c r="L174" s="16">
        <f t="shared" ca="1" si="23"/>
        <v>268.72727029850057</v>
      </c>
      <c r="M174" s="17">
        <f t="shared" ca="1" si="24"/>
        <v>6.3636485074971461</v>
      </c>
      <c r="N174" s="17">
        <f t="shared" si="25"/>
        <v>20</v>
      </c>
      <c r="O174" s="17">
        <f t="shared" si="26"/>
        <v>-810</v>
      </c>
      <c r="P174" s="18">
        <f t="shared" ca="1" si="27"/>
        <v>-134.36363514925029</v>
      </c>
      <c r="Q174" s="18">
        <f t="shared" ca="1" si="28"/>
        <v>403.09090544775086</v>
      </c>
      <c r="R174" s="19">
        <f t="shared" ca="1" si="29"/>
        <v>-514.90908119400228</v>
      </c>
      <c r="S174" s="15">
        <f t="shared" ca="1" si="30"/>
        <v>1</v>
      </c>
    </row>
    <row r="175" spans="9:19">
      <c r="I175" s="15">
        <f t="shared" si="31"/>
        <v>171</v>
      </c>
      <c r="J175" s="16">
        <f t="shared" ca="1" si="32"/>
        <v>320.06192806870098</v>
      </c>
      <c r="K175" s="16">
        <f t="shared" ca="1" si="22"/>
        <v>270</v>
      </c>
      <c r="L175" s="16">
        <f t="shared" ca="1" si="23"/>
        <v>0</v>
      </c>
      <c r="M175" s="17">
        <f t="shared" ca="1" si="24"/>
        <v>1350</v>
      </c>
      <c r="N175" s="17">
        <f t="shared" si="25"/>
        <v>20</v>
      </c>
      <c r="O175" s="17">
        <f t="shared" si="26"/>
        <v>-810</v>
      </c>
      <c r="P175" s="18">
        <f t="shared" ca="1" si="27"/>
        <v>0</v>
      </c>
      <c r="Q175" s="18">
        <f t="shared" ca="1" si="28"/>
        <v>0</v>
      </c>
      <c r="R175" s="19">
        <f t="shared" ca="1" si="29"/>
        <v>560</v>
      </c>
      <c r="S175" s="15">
        <f t="shared" ca="1" si="30"/>
        <v>0</v>
      </c>
    </row>
    <row r="176" spans="9:19">
      <c r="I176" s="15">
        <f t="shared" si="31"/>
        <v>172</v>
      </c>
      <c r="J176" s="16">
        <f t="shared" ca="1" si="32"/>
        <v>290.38130433728361</v>
      </c>
      <c r="K176" s="16">
        <f t="shared" ca="1" si="22"/>
        <v>270</v>
      </c>
      <c r="L176" s="16">
        <f t="shared" ca="1" si="23"/>
        <v>0</v>
      </c>
      <c r="M176" s="17">
        <f t="shared" ca="1" si="24"/>
        <v>1350</v>
      </c>
      <c r="N176" s="17">
        <f t="shared" si="25"/>
        <v>20</v>
      </c>
      <c r="O176" s="17">
        <f t="shared" si="26"/>
        <v>-810</v>
      </c>
      <c r="P176" s="18">
        <f t="shared" ca="1" si="27"/>
        <v>0</v>
      </c>
      <c r="Q176" s="18">
        <f t="shared" ca="1" si="28"/>
        <v>0</v>
      </c>
      <c r="R176" s="19">
        <f t="shared" ca="1" si="29"/>
        <v>560</v>
      </c>
      <c r="S176" s="15">
        <f t="shared" ca="1" si="30"/>
        <v>0</v>
      </c>
    </row>
    <row r="177" spans="9:19">
      <c r="I177" s="15">
        <f t="shared" si="31"/>
        <v>173</v>
      </c>
      <c r="J177" s="16">
        <f t="shared" ca="1" si="32"/>
        <v>174.76194741542815</v>
      </c>
      <c r="K177" s="16">
        <f t="shared" ca="1" si="22"/>
        <v>95.238052584571847</v>
      </c>
      <c r="L177" s="16">
        <f t="shared" ca="1" si="23"/>
        <v>174.76194741542815</v>
      </c>
      <c r="M177" s="17">
        <f t="shared" ca="1" si="24"/>
        <v>476.19026292285923</v>
      </c>
      <c r="N177" s="17">
        <f t="shared" si="25"/>
        <v>20</v>
      </c>
      <c r="O177" s="17">
        <f t="shared" si="26"/>
        <v>-810</v>
      </c>
      <c r="P177" s="18">
        <f t="shared" ca="1" si="27"/>
        <v>-87.380973707714077</v>
      </c>
      <c r="Q177" s="18">
        <f t="shared" ca="1" si="28"/>
        <v>262.14292112314223</v>
      </c>
      <c r="R177" s="19">
        <f t="shared" ca="1" si="29"/>
        <v>-139.04778966171261</v>
      </c>
      <c r="S177" s="15">
        <f t="shared" ca="1" si="30"/>
        <v>1</v>
      </c>
    </row>
    <row r="178" spans="9:19">
      <c r="I178" s="15">
        <f t="shared" si="31"/>
        <v>174</v>
      </c>
      <c r="J178" s="16">
        <f t="shared" ca="1" si="32"/>
        <v>171.26553398097781</v>
      </c>
      <c r="K178" s="16">
        <f t="shared" ca="1" si="22"/>
        <v>98.734466019022193</v>
      </c>
      <c r="L178" s="16">
        <f t="shared" ca="1" si="23"/>
        <v>171.26553398097781</v>
      </c>
      <c r="M178" s="17">
        <f t="shared" ca="1" si="24"/>
        <v>493.67233009511096</v>
      </c>
      <c r="N178" s="17">
        <f t="shared" si="25"/>
        <v>20</v>
      </c>
      <c r="O178" s="17">
        <f t="shared" si="26"/>
        <v>-810</v>
      </c>
      <c r="P178" s="18">
        <f t="shared" ca="1" si="27"/>
        <v>-85.632766990488904</v>
      </c>
      <c r="Q178" s="18">
        <f t="shared" ca="1" si="28"/>
        <v>256.89830097146671</v>
      </c>
      <c r="R178" s="19">
        <f t="shared" ca="1" si="29"/>
        <v>-125.06213592391123</v>
      </c>
      <c r="S178" s="15">
        <f t="shared" ca="1" si="30"/>
        <v>1</v>
      </c>
    </row>
    <row r="179" spans="9:19">
      <c r="I179" s="15">
        <f t="shared" si="31"/>
        <v>175</v>
      </c>
      <c r="J179" s="16">
        <f t="shared" ca="1" si="32"/>
        <v>375.11043681620606</v>
      </c>
      <c r="K179" s="16">
        <f t="shared" ca="1" si="22"/>
        <v>270</v>
      </c>
      <c r="L179" s="16">
        <f t="shared" ca="1" si="23"/>
        <v>0</v>
      </c>
      <c r="M179" s="17">
        <f t="shared" ca="1" si="24"/>
        <v>1350</v>
      </c>
      <c r="N179" s="17">
        <f t="shared" si="25"/>
        <v>20</v>
      </c>
      <c r="O179" s="17">
        <f t="shared" si="26"/>
        <v>-810</v>
      </c>
      <c r="P179" s="18">
        <f t="shared" ca="1" si="27"/>
        <v>0</v>
      </c>
      <c r="Q179" s="18">
        <f t="shared" ca="1" si="28"/>
        <v>0</v>
      </c>
      <c r="R179" s="19">
        <f t="shared" ca="1" si="29"/>
        <v>560</v>
      </c>
      <c r="S179" s="15">
        <f t="shared" ca="1" si="30"/>
        <v>0</v>
      </c>
    </row>
    <row r="180" spans="9:19">
      <c r="I180" s="15">
        <f t="shared" si="31"/>
        <v>176</v>
      </c>
      <c r="J180" s="16">
        <f t="shared" ca="1" si="32"/>
        <v>395.53595518195493</v>
      </c>
      <c r="K180" s="16">
        <f t="shared" ca="1" si="22"/>
        <v>270</v>
      </c>
      <c r="L180" s="16">
        <f t="shared" ca="1" si="23"/>
        <v>0</v>
      </c>
      <c r="M180" s="17">
        <f t="shared" ca="1" si="24"/>
        <v>1350</v>
      </c>
      <c r="N180" s="17">
        <f t="shared" si="25"/>
        <v>20</v>
      </c>
      <c r="O180" s="17">
        <f t="shared" si="26"/>
        <v>-810</v>
      </c>
      <c r="P180" s="18">
        <f t="shared" ca="1" si="27"/>
        <v>0</v>
      </c>
      <c r="Q180" s="18">
        <f t="shared" ca="1" si="28"/>
        <v>0</v>
      </c>
      <c r="R180" s="19">
        <f t="shared" ca="1" si="29"/>
        <v>560</v>
      </c>
      <c r="S180" s="15">
        <f t="shared" ca="1" si="30"/>
        <v>0</v>
      </c>
    </row>
    <row r="181" spans="9:19">
      <c r="I181" s="15">
        <f t="shared" si="31"/>
        <v>177</v>
      </c>
      <c r="J181" s="16">
        <f t="shared" ca="1" si="32"/>
        <v>339.89710994166467</v>
      </c>
      <c r="K181" s="16">
        <f t="shared" ca="1" si="22"/>
        <v>270</v>
      </c>
      <c r="L181" s="16">
        <f t="shared" ca="1" si="23"/>
        <v>0</v>
      </c>
      <c r="M181" s="17">
        <f t="shared" ca="1" si="24"/>
        <v>1350</v>
      </c>
      <c r="N181" s="17">
        <f t="shared" si="25"/>
        <v>20</v>
      </c>
      <c r="O181" s="17">
        <f t="shared" si="26"/>
        <v>-810</v>
      </c>
      <c r="P181" s="18">
        <f t="shared" ca="1" si="27"/>
        <v>0</v>
      </c>
      <c r="Q181" s="18">
        <f t="shared" ca="1" si="28"/>
        <v>0</v>
      </c>
      <c r="R181" s="19">
        <f t="shared" ca="1" si="29"/>
        <v>560</v>
      </c>
      <c r="S181" s="15">
        <f t="shared" ca="1" si="30"/>
        <v>0</v>
      </c>
    </row>
    <row r="182" spans="9:19">
      <c r="I182" s="15">
        <f t="shared" si="31"/>
        <v>178</v>
      </c>
      <c r="J182" s="16">
        <f t="shared" ca="1" si="32"/>
        <v>410.68614047083827</v>
      </c>
      <c r="K182" s="16">
        <f t="shared" ca="1" si="22"/>
        <v>270</v>
      </c>
      <c r="L182" s="16">
        <f t="shared" ca="1" si="23"/>
        <v>0</v>
      </c>
      <c r="M182" s="17">
        <f t="shared" ca="1" si="24"/>
        <v>1350</v>
      </c>
      <c r="N182" s="17">
        <f t="shared" si="25"/>
        <v>20</v>
      </c>
      <c r="O182" s="17">
        <f t="shared" si="26"/>
        <v>-810</v>
      </c>
      <c r="P182" s="18">
        <f t="shared" ca="1" si="27"/>
        <v>0</v>
      </c>
      <c r="Q182" s="18">
        <f t="shared" ca="1" si="28"/>
        <v>0</v>
      </c>
      <c r="R182" s="19">
        <f t="shared" ca="1" si="29"/>
        <v>560</v>
      </c>
      <c r="S182" s="15">
        <f t="shared" ca="1" si="30"/>
        <v>0</v>
      </c>
    </row>
    <row r="183" spans="9:19">
      <c r="I183" s="15">
        <f t="shared" si="31"/>
        <v>179</v>
      </c>
      <c r="J183" s="16">
        <f t="shared" ca="1" si="32"/>
        <v>120.55425112783387</v>
      </c>
      <c r="K183" s="16">
        <f t="shared" ca="1" si="22"/>
        <v>149.44574887216612</v>
      </c>
      <c r="L183" s="16">
        <f t="shared" ca="1" si="23"/>
        <v>120.55425112783388</v>
      </c>
      <c r="M183" s="17">
        <f t="shared" ca="1" si="24"/>
        <v>747.22874436083066</v>
      </c>
      <c r="N183" s="17">
        <f t="shared" si="25"/>
        <v>20</v>
      </c>
      <c r="O183" s="17">
        <f t="shared" si="26"/>
        <v>-810</v>
      </c>
      <c r="P183" s="18">
        <f t="shared" ca="1" si="27"/>
        <v>-60.27712556391694</v>
      </c>
      <c r="Q183" s="18">
        <f t="shared" ca="1" si="28"/>
        <v>180.83137669175082</v>
      </c>
      <c r="R183" s="19">
        <f t="shared" ca="1" si="29"/>
        <v>77.78299548866454</v>
      </c>
      <c r="S183" s="15">
        <f t="shared" ca="1" si="30"/>
        <v>0</v>
      </c>
    </row>
    <row r="184" spans="9:19">
      <c r="I184" s="15">
        <f t="shared" si="31"/>
        <v>180</v>
      </c>
      <c r="J184" s="16">
        <f t="shared" ca="1" si="32"/>
        <v>130.29363228016626</v>
      </c>
      <c r="K184" s="16">
        <f t="shared" ca="1" si="22"/>
        <v>139.70636771983374</v>
      </c>
      <c r="L184" s="16">
        <f t="shared" ca="1" si="23"/>
        <v>130.29363228016626</v>
      </c>
      <c r="M184" s="17">
        <f t="shared" ca="1" si="24"/>
        <v>698.53183859916862</v>
      </c>
      <c r="N184" s="17">
        <f t="shared" si="25"/>
        <v>20</v>
      </c>
      <c r="O184" s="17">
        <f t="shared" si="26"/>
        <v>-810</v>
      </c>
      <c r="P184" s="18">
        <f t="shared" ca="1" si="27"/>
        <v>-65.146816140083132</v>
      </c>
      <c r="Q184" s="18">
        <f t="shared" ca="1" si="28"/>
        <v>195.4404484202494</v>
      </c>
      <c r="R184" s="19">
        <f t="shared" ca="1" si="29"/>
        <v>38.825470879334887</v>
      </c>
      <c r="S184" s="15">
        <f t="shared" ca="1" si="30"/>
        <v>0</v>
      </c>
    </row>
    <row r="185" spans="9:19">
      <c r="I185" s="15">
        <f t="shared" si="31"/>
        <v>181</v>
      </c>
      <c r="J185" s="16">
        <f t="shared" ca="1" si="32"/>
        <v>352.41470762688562</v>
      </c>
      <c r="K185" s="16">
        <f t="shared" ca="1" si="22"/>
        <v>270</v>
      </c>
      <c r="L185" s="16">
        <f t="shared" ca="1" si="23"/>
        <v>0</v>
      </c>
      <c r="M185" s="17">
        <f t="shared" ca="1" si="24"/>
        <v>1350</v>
      </c>
      <c r="N185" s="17">
        <f t="shared" si="25"/>
        <v>20</v>
      </c>
      <c r="O185" s="17">
        <f t="shared" si="26"/>
        <v>-810</v>
      </c>
      <c r="P185" s="18">
        <f t="shared" ca="1" si="27"/>
        <v>0</v>
      </c>
      <c r="Q185" s="18">
        <f t="shared" ca="1" si="28"/>
        <v>0</v>
      </c>
      <c r="R185" s="19">
        <f t="shared" ca="1" si="29"/>
        <v>560</v>
      </c>
      <c r="S185" s="15">
        <f t="shared" ca="1" si="30"/>
        <v>0</v>
      </c>
    </row>
    <row r="186" spans="9:19">
      <c r="I186" s="15">
        <f t="shared" si="31"/>
        <v>182</v>
      </c>
      <c r="J186" s="16">
        <f t="shared" ca="1" si="32"/>
        <v>239.3336998272288</v>
      </c>
      <c r="K186" s="16">
        <f t="shared" ca="1" si="22"/>
        <v>30.666300172771201</v>
      </c>
      <c r="L186" s="16">
        <f t="shared" ca="1" si="23"/>
        <v>239.3336998272288</v>
      </c>
      <c r="M186" s="17">
        <f t="shared" ca="1" si="24"/>
        <v>153.33150086385601</v>
      </c>
      <c r="N186" s="17">
        <f t="shared" si="25"/>
        <v>20</v>
      </c>
      <c r="O186" s="17">
        <f t="shared" si="26"/>
        <v>-810</v>
      </c>
      <c r="P186" s="18">
        <f t="shared" ca="1" si="27"/>
        <v>-119.6668499136144</v>
      </c>
      <c r="Q186" s="18">
        <f t="shared" ca="1" si="28"/>
        <v>359.00054974084321</v>
      </c>
      <c r="R186" s="19">
        <f t="shared" ca="1" si="29"/>
        <v>-397.33479930891519</v>
      </c>
      <c r="S186" s="15">
        <f t="shared" ca="1" si="30"/>
        <v>1</v>
      </c>
    </row>
    <row r="187" spans="9:19">
      <c r="I187" s="15">
        <f t="shared" si="31"/>
        <v>183</v>
      </c>
      <c r="J187" s="16">
        <f t="shared" ca="1" si="32"/>
        <v>298.28408654677838</v>
      </c>
      <c r="K187" s="16">
        <f t="shared" ca="1" si="22"/>
        <v>270</v>
      </c>
      <c r="L187" s="16">
        <f t="shared" ca="1" si="23"/>
        <v>0</v>
      </c>
      <c r="M187" s="17">
        <f t="shared" ca="1" si="24"/>
        <v>1350</v>
      </c>
      <c r="N187" s="17">
        <f t="shared" si="25"/>
        <v>20</v>
      </c>
      <c r="O187" s="17">
        <f t="shared" si="26"/>
        <v>-810</v>
      </c>
      <c r="P187" s="18">
        <f t="shared" ca="1" si="27"/>
        <v>0</v>
      </c>
      <c r="Q187" s="18">
        <f t="shared" ca="1" si="28"/>
        <v>0</v>
      </c>
      <c r="R187" s="19">
        <f t="shared" ca="1" si="29"/>
        <v>560</v>
      </c>
      <c r="S187" s="15">
        <f t="shared" ca="1" si="30"/>
        <v>0</v>
      </c>
    </row>
    <row r="188" spans="9:19">
      <c r="I188" s="15">
        <f t="shared" si="31"/>
        <v>184</v>
      </c>
      <c r="J188" s="16">
        <f t="shared" ca="1" si="32"/>
        <v>209.27872727782483</v>
      </c>
      <c r="K188" s="16">
        <f t="shared" ca="1" si="22"/>
        <v>60.721272722175172</v>
      </c>
      <c r="L188" s="16">
        <f t="shared" ca="1" si="23"/>
        <v>209.27872727782483</v>
      </c>
      <c r="M188" s="17">
        <f t="shared" ca="1" si="24"/>
        <v>303.60636361087586</v>
      </c>
      <c r="N188" s="17">
        <f t="shared" si="25"/>
        <v>20</v>
      </c>
      <c r="O188" s="17">
        <f t="shared" si="26"/>
        <v>-810</v>
      </c>
      <c r="P188" s="18">
        <f t="shared" ca="1" si="27"/>
        <v>-104.63936363891241</v>
      </c>
      <c r="Q188" s="18">
        <f t="shared" ca="1" si="28"/>
        <v>313.91809091673724</v>
      </c>
      <c r="R188" s="19">
        <f t="shared" ca="1" si="29"/>
        <v>-277.11490911129931</v>
      </c>
      <c r="S188" s="15">
        <f t="shared" ca="1" si="30"/>
        <v>1</v>
      </c>
    </row>
    <row r="189" spans="9:19">
      <c r="I189" s="15">
        <f t="shared" si="31"/>
        <v>185</v>
      </c>
      <c r="J189" s="16">
        <f t="shared" ca="1" si="32"/>
        <v>386.70236641472189</v>
      </c>
      <c r="K189" s="16">
        <f t="shared" ca="1" si="22"/>
        <v>270</v>
      </c>
      <c r="L189" s="16">
        <f t="shared" ca="1" si="23"/>
        <v>0</v>
      </c>
      <c r="M189" s="17">
        <f t="shared" ca="1" si="24"/>
        <v>1350</v>
      </c>
      <c r="N189" s="17">
        <f t="shared" si="25"/>
        <v>20</v>
      </c>
      <c r="O189" s="17">
        <f t="shared" si="26"/>
        <v>-810</v>
      </c>
      <c r="P189" s="18">
        <f t="shared" ca="1" si="27"/>
        <v>0</v>
      </c>
      <c r="Q189" s="18">
        <f t="shared" ca="1" si="28"/>
        <v>0</v>
      </c>
      <c r="R189" s="19">
        <f t="shared" ca="1" si="29"/>
        <v>560</v>
      </c>
      <c r="S189" s="15">
        <f t="shared" ca="1" si="30"/>
        <v>0</v>
      </c>
    </row>
    <row r="190" spans="9:19">
      <c r="I190" s="15">
        <f t="shared" si="31"/>
        <v>186</v>
      </c>
      <c r="J190" s="16">
        <f t="shared" ca="1" si="32"/>
        <v>129.46807700217448</v>
      </c>
      <c r="K190" s="16">
        <f t="shared" ca="1" si="22"/>
        <v>140.53192299782552</v>
      </c>
      <c r="L190" s="16">
        <f t="shared" ca="1" si="23"/>
        <v>129.46807700217448</v>
      </c>
      <c r="M190" s="17">
        <f t="shared" ca="1" si="24"/>
        <v>702.65961498912759</v>
      </c>
      <c r="N190" s="17">
        <f t="shared" si="25"/>
        <v>20</v>
      </c>
      <c r="O190" s="17">
        <f t="shared" si="26"/>
        <v>-810</v>
      </c>
      <c r="P190" s="18">
        <f t="shared" ca="1" si="27"/>
        <v>-64.734038501087241</v>
      </c>
      <c r="Q190" s="18">
        <f t="shared" ca="1" si="28"/>
        <v>194.20211550326172</v>
      </c>
      <c r="R190" s="19">
        <f t="shared" ca="1" si="29"/>
        <v>42.127691991302072</v>
      </c>
      <c r="S190" s="15">
        <f t="shared" ca="1" si="30"/>
        <v>0</v>
      </c>
    </row>
    <row r="191" spans="9:19">
      <c r="I191" s="15">
        <f t="shared" si="31"/>
        <v>187</v>
      </c>
      <c r="J191" s="16">
        <f t="shared" ca="1" si="32"/>
        <v>390.53063910712626</v>
      </c>
      <c r="K191" s="16">
        <f t="shared" ca="1" si="22"/>
        <v>270</v>
      </c>
      <c r="L191" s="16">
        <f t="shared" ca="1" si="23"/>
        <v>0</v>
      </c>
      <c r="M191" s="17">
        <f t="shared" ca="1" si="24"/>
        <v>1350</v>
      </c>
      <c r="N191" s="17">
        <f t="shared" si="25"/>
        <v>20</v>
      </c>
      <c r="O191" s="17">
        <f t="shared" si="26"/>
        <v>-810</v>
      </c>
      <c r="P191" s="18">
        <f t="shared" ca="1" si="27"/>
        <v>0</v>
      </c>
      <c r="Q191" s="18">
        <f t="shared" ca="1" si="28"/>
        <v>0</v>
      </c>
      <c r="R191" s="19">
        <f t="shared" ca="1" si="29"/>
        <v>560</v>
      </c>
      <c r="S191" s="15">
        <f t="shared" ca="1" si="30"/>
        <v>0</v>
      </c>
    </row>
    <row r="192" spans="9:19">
      <c r="I192" s="15">
        <f t="shared" si="31"/>
        <v>188</v>
      </c>
      <c r="J192" s="16">
        <f t="shared" ca="1" si="32"/>
        <v>378.48655030249313</v>
      </c>
      <c r="K192" s="16">
        <f t="shared" ca="1" si="22"/>
        <v>270</v>
      </c>
      <c r="L192" s="16">
        <f t="shared" ca="1" si="23"/>
        <v>0</v>
      </c>
      <c r="M192" s="17">
        <f t="shared" ca="1" si="24"/>
        <v>1350</v>
      </c>
      <c r="N192" s="17">
        <f t="shared" si="25"/>
        <v>20</v>
      </c>
      <c r="O192" s="17">
        <f t="shared" si="26"/>
        <v>-810</v>
      </c>
      <c r="P192" s="18">
        <f t="shared" ca="1" si="27"/>
        <v>0</v>
      </c>
      <c r="Q192" s="18">
        <f t="shared" ca="1" si="28"/>
        <v>0</v>
      </c>
      <c r="R192" s="19">
        <f t="shared" ca="1" si="29"/>
        <v>560</v>
      </c>
      <c r="S192" s="15">
        <f t="shared" ca="1" si="30"/>
        <v>0</v>
      </c>
    </row>
    <row r="193" spans="9:19">
      <c r="I193" s="15">
        <f t="shared" si="31"/>
        <v>189</v>
      </c>
      <c r="J193" s="16">
        <f t="shared" ca="1" si="32"/>
        <v>296.83101279496168</v>
      </c>
      <c r="K193" s="16">
        <f t="shared" ca="1" si="22"/>
        <v>270</v>
      </c>
      <c r="L193" s="16">
        <f t="shared" ca="1" si="23"/>
        <v>0</v>
      </c>
      <c r="M193" s="17">
        <f t="shared" ca="1" si="24"/>
        <v>1350</v>
      </c>
      <c r="N193" s="17">
        <f t="shared" si="25"/>
        <v>20</v>
      </c>
      <c r="O193" s="17">
        <f t="shared" si="26"/>
        <v>-810</v>
      </c>
      <c r="P193" s="18">
        <f t="shared" ca="1" si="27"/>
        <v>0</v>
      </c>
      <c r="Q193" s="18">
        <f t="shared" ca="1" si="28"/>
        <v>0</v>
      </c>
      <c r="R193" s="19">
        <f t="shared" ca="1" si="29"/>
        <v>560</v>
      </c>
      <c r="S193" s="15">
        <f t="shared" ca="1" si="30"/>
        <v>0</v>
      </c>
    </row>
    <row r="194" spans="9:19">
      <c r="I194" s="15">
        <f t="shared" si="31"/>
        <v>190</v>
      </c>
      <c r="J194" s="16">
        <f t="shared" ca="1" si="32"/>
        <v>325.81276598499056</v>
      </c>
      <c r="K194" s="16">
        <f t="shared" ca="1" si="22"/>
        <v>270</v>
      </c>
      <c r="L194" s="16">
        <f t="shared" ca="1" si="23"/>
        <v>0</v>
      </c>
      <c r="M194" s="17">
        <f t="shared" ca="1" si="24"/>
        <v>1350</v>
      </c>
      <c r="N194" s="17">
        <f t="shared" si="25"/>
        <v>20</v>
      </c>
      <c r="O194" s="17">
        <f t="shared" si="26"/>
        <v>-810</v>
      </c>
      <c r="P194" s="18">
        <f t="shared" ca="1" si="27"/>
        <v>0</v>
      </c>
      <c r="Q194" s="18">
        <f t="shared" ca="1" si="28"/>
        <v>0</v>
      </c>
      <c r="R194" s="19">
        <f t="shared" ca="1" si="29"/>
        <v>560</v>
      </c>
      <c r="S194" s="15">
        <f t="shared" ca="1" si="30"/>
        <v>0</v>
      </c>
    </row>
    <row r="195" spans="9:19">
      <c r="I195" s="15">
        <f t="shared" si="31"/>
        <v>191</v>
      </c>
      <c r="J195" s="16">
        <f t="shared" ca="1" si="32"/>
        <v>417.6460032591682</v>
      </c>
      <c r="K195" s="16">
        <f t="shared" ca="1" si="22"/>
        <v>270</v>
      </c>
      <c r="L195" s="16">
        <f t="shared" ca="1" si="23"/>
        <v>0</v>
      </c>
      <c r="M195" s="17">
        <f t="shared" ca="1" si="24"/>
        <v>1350</v>
      </c>
      <c r="N195" s="17">
        <f t="shared" si="25"/>
        <v>20</v>
      </c>
      <c r="O195" s="17">
        <f t="shared" si="26"/>
        <v>-810</v>
      </c>
      <c r="P195" s="18">
        <f t="shared" ca="1" si="27"/>
        <v>0</v>
      </c>
      <c r="Q195" s="18">
        <f t="shared" ca="1" si="28"/>
        <v>0</v>
      </c>
      <c r="R195" s="19">
        <f t="shared" ca="1" si="29"/>
        <v>560</v>
      </c>
      <c r="S195" s="15">
        <f t="shared" ca="1" si="30"/>
        <v>0</v>
      </c>
    </row>
    <row r="196" spans="9:19">
      <c r="I196" s="15">
        <f t="shared" si="31"/>
        <v>192</v>
      </c>
      <c r="J196" s="16">
        <f t="shared" ca="1" si="32"/>
        <v>316.88024924038632</v>
      </c>
      <c r="K196" s="16">
        <f t="shared" ca="1" si="22"/>
        <v>270</v>
      </c>
      <c r="L196" s="16">
        <f t="shared" ca="1" si="23"/>
        <v>0</v>
      </c>
      <c r="M196" s="17">
        <f t="shared" ca="1" si="24"/>
        <v>1350</v>
      </c>
      <c r="N196" s="17">
        <f t="shared" si="25"/>
        <v>20</v>
      </c>
      <c r="O196" s="17">
        <f t="shared" si="26"/>
        <v>-810</v>
      </c>
      <c r="P196" s="18">
        <f t="shared" ca="1" si="27"/>
        <v>0</v>
      </c>
      <c r="Q196" s="18">
        <f t="shared" ca="1" si="28"/>
        <v>0</v>
      </c>
      <c r="R196" s="19">
        <f t="shared" ca="1" si="29"/>
        <v>560</v>
      </c>
      <c r="S196" s="15">
        <f t="shared" ca="1" si="30"/>
        <v>0</v>
      </c>
    </row>
    <row r="197" spans="9:19">
      <c r="I197" s="15">
        <f t="shared" si="31"/>
        <v>193</v>
      </c>
      <c r="J197" s="16">
        <f t="shared" ca="1" si="32"/>
        <v>123.38268984840354</v>
      </c>
      <c r="K197" s="16">
        <f t="shared" ca="1" si="22"/>
        <v>146.61731015159646</v>
      </c>
      <c r="L197" s="16">
        <f t="shared" ca="1" si="23"/>
        <v>123.38268984840354</v>
      </c>
      <c r="M197" s="17">
        <f t="shared" ca="1" si="24"/>
        <v>733.08655075798231</v>
      </c>
      <c r="N197" s="17">
        <f t="shared" si="25"/>
        <v>20</v>
      </c>
      <c r="O197" s="17">
        <f t="shared" si="26"/>
        <v>-810</v>
      </c>
      <c r="P197" s="18">
        <f t="shared" ca="1" si="27"/>
        <v>-61.691344924201772</v>
      </c>
      <c r="Q197" s="18">
        <f t="shared" ca="1" si="28"/>
        <v>185.07403477260533</v>
      </c>
      <c r="R197" s="19">
        <f t="shared" ca="1" si="29"/>
        <v>66.469240606385867</v>
      </c>
      <c r="S197" s="15">
        <f t="shared" ca="1" si="30"/>
        <v>0</v>
      </c>
    </row>
    <row r="198" spans="9:19">
      <c r="I198" s="15">
        <f t="shared" si="31"/>
        <v>194</v>
      </c>
      <c r="J198" s="16">
        <f t="shared" ca="1" si="32"/>
        <v>247.04921345533955</v>
      </c>
      <c r="K198" s="16">
        <f t="shared" ref="K198:K261" ca="1" si="33">IF(J198&gt;=$D$18,$D$18,$D$18-J198)</f>
        <v>22.950786544660446</v>
      </c>
      <c r="L198" s="16">
        <f t="shared" ref="L198:L261" ca="1" si="34">$D$18-K198</f>
        <v>247.04921345533955</v>
      </c>
      <c r="M198" s="17">
        <f t="shared" ref="M198:M261" ca="1" si="35">K198*5</f>
        <v>114.75393272330223</v>
      </c>
      <c r="N198" s="17">
        <f t="shared" ref="N198:N261" si="36">$D$10</f>
        <v>20</v>
      </c>
      <c r="O198" s="17">
        <f t="shared" ref="O198:O261" si="37">-$D$6*$D$18</f>
        <v>-810</v>
      </c>
      <c r="P198" s="18">
        <f t="shared" ref="P198:P261" ca="1" si="38">-L198*$D$9</f>
        <v>-123.52460672766978</v>
      </c>
      <c r="Q198" s="18">
        <f t="shared" ref="Q198:Q261" ca="1" si="39">L198*($D$6*$D$8)</f>
        <v>370.57382018300933</v>
      </c>
      <c r="R198" s="19">
        <f t="shared" ref="R198:R261" ca="1" si="40">SUM(M198:Q198)</f>
        <v>-428.19685382135816</v>
      </c>
      <c r="S198" s="15">
        <f t="shared" ref="S198:S261" ca="1" si="41">IF(R198&lt;0,1,0)</f>
        <v>1</v>
      </c>
    </row>
    <row r="199" spans="9:19">
      <c r="I199" s="15">
        <f t="shared" ref="I199:I262" si="42">I198+1</f>
        <v>195</v>
      </c>
      <c r="J199" s="16">
        <f t="shared" ref="J199:J262" ca="1" si="43">RAND()*($E$3-$D$3)+$D$3</f>
        <v>243.64651999115563</v>
      </c>
      <c r="K199" s="16">
        <f t="shared" ca="1" si="33"/>
        <v>26.353480008844372</v>
      </c>
      <c r="L199" s="16">
        <f t="shared" ca="1" si="34"/>
        <v>243.64651999115563</v>
      </c>
      <c r="M199" s="17">
        <f t="shared" ca="1" si="35"/>
        <v>131.76740004422186</v>
      </c>
      <c r="N199" s="17">
        <f t="shared" si="36"/>
        <v>20</v>
      </c>
      <c r="O199" s="17">
        <f t="shared" si="37"/>
        <v>-810</v>
      </c>
      <c r="P199" s="18">
        <f t="shared" ca="1" si="38"/>
        <v>-121.82325999557781</v>
      </c>
      <c r="Q199" s="18">
        <f t="shared" ca="1" si="39"/>
        <v>365.46977998673344</v>
      </c>
      <c r="R199" s="19">
        <f t="shared" ca="1" si="40"/>
        <v>-414.58607996462251</v>
      </c>
      <c r="S199" s="15">
        <f t="shared" ca="1" si="41"/>
        <v>1</v>
      </c>
    </row>
    <row r="200" spans="9:19">
      <c r="I200" s="15">
        <f t="shared" si="42"/>
        <v>196</v>
      </c>
      <c r="J200" s="16">
        <f t="shared" ca="1" si="43"/>
        <v>342.799408164174</v>
      </c>
      <c r="K200" s="16">
        <f t="shared" ca="1" si="33"/>
        <v>270</v>
      </c>
      <c r="L200" s="16">
        <f t="shared" ca="1" si="34"/>
        <v>0</v>
      </c>
      <c r="M200" s="17">
        <f t="shared" ca="1" si="35"/>
        <v>1350</v>
      </c>
      <c r="N200" s="17">
        <f t="shared" si="36"/>
        <v>20</v>
      </c>
      <c r="O200" s="17">
        <f t="shared" si="37"/>
        <v>-810</v>
      </c>
      <c r="P200" s="18">
        <f t="shared" ca="1" si="38"/>
        <v>0</v>
      </c>
      <c r="Q200" s="18">
        <f t="shared" ca="1" si="39"/>
        <v>0</v>
      </c>
      <c r="R200" s="19">
        <f t="shared" ca="1" si="40"/>
        <v>560</v>
      </c>
      <c r="S200" s="15">
        <f t="shared" ca="1" si="41"/>
        <v>0</v>
      </c>
    </row>
    <row r="201" spans="9:19">
      <c r="I201" s="15">
        <f t="shared" si="42"/>
        <v>197</v>
      </c>
      <c r="J201" s="16">
        <f t="shared" ca="1" si="43"/>
        <v>220.10416115054556</v>
      </c>
      <c r="K201" s="16">
        <f t="shared" ca="1" si="33"/>
        <v>49.895838849454435</v>
      </c>
      <c r="L201" s="16">
        <f t="shared" ca="1" si="34"/>
        <v>220.10416115054556</v>
      </c>
      <c r="M201" s="17">
        <f t="shared" ca="1" si="35"/>
        <v>249.47919424727218</v>
      </c>
      <c r="N201" s="17">
        <f t="shared" si="36"/>
        <v>20</v>
      </c>
      <c r="O201" s="17">
        <f t="shared" si="37"/>
        <v>-810</v>
      </c>
      <c r="P201" s="18">
        <f t="shared" ca="1" si="38"/>
        <v>-110.05208057527278</v>
      </c>
      <c r="Q201" s="18">
        <f t="shared" ca="1" si="39"/>
        <v>330.15624172581835</v>
      </c>
      <c r="R201" s="19">
        <f t="shared" ca="1" si="40"/>
        <v>-320.4166446021822</v>
      </c>
      <c r="S201" s="15">
        <f t="shared" ca="1" si="41"/>
        <v>1</v>
      </c>
    </row>
    <row r="202" spans="9:19">
      <c r="I202" s="15">
        <f t="shared" si="42"/>
        <v>198</v>
      </c>
      <c r="J202" s="16">
        <f t="shared" ca="1" si="43"/>
        <v>210.55123837820076</v>
      </c>
      <c r="K202" s="16">
        <f t="shared" ca="1" si="33"/>
        <v>59.448761621799235</v>
      </c>
      <c r="L202" s="16">
        <f t="shared" ca="1" si="34"/>
        <v>210.55123837820076</v>
      </c>
      <c r="M202" s="17">
        <f t="shared" ca="1" si="35"/>
        <v>297.24380810899618</v>
      </c>
      <c r="N202" s="17">
        <f t="shared" si="36"/>
        <v>20</v>
      </c>
      <c r="O202" s="17">
        <f t="shared" si="37"/>
        <v>-810</v>
      </c>
      <c r="P202" s="18">
        <f t="shared" ca="1" si="38"/>
        <v>-105.27561918910038</v>
      </c>
      <c r="Q202" s="18">
        <f t="shared" ca="1" si="39"/>
        <v>315.82685756730115</v>
      </c>
      <c r="R202" s="19">
        <f t="shared" ca="1" si="40"/>
        <v>-282.20495351280312</v>
      </c>
      <c r="S202" s="15">
        <f t="shared" ca="1" si="41"/>
        <v>1</v>
      </c>
    </row>
    <row r="203" spans="9:19">
      <c r="I203" s="15">
        <f t="shared" si="42"/>
        <v>199</v>
      </c>
      <c r="J203" s="16">
        <f t="shared" ca="1" si="43"/>
        <v>217.07947044551162</v>
      </c>
      <c r="K203" s="16">
        <f t="shared" ca="1" si="33"/>
        <v>52.920529554488382</v>
      </c>
      <c r="L203" s="16">
        <f t="shared" ca="1" si="34"/>
        <v>217.07947044551162</v>
      </c>
      <c r="M203" s="17">
        <f t="shared" ca="1" si="35"/>
        <v>264.60264777244191</v>
      </c>
      <c r="N203" s="17">
        <f t="shared" si="36"/>
        <v>20</v>
      </c>
      <c r="O203" s="17">
        <f t="shared" si="37"/>
        <v>-810</v>
      </c>
      <c r="P203" s="18">
        <f t="shared" ca="1" si="38"/>
        <v>-108.53973522275581</v>
      </c>
      <c r="Q203" s="18">
        <f t="shared" ca="1" si="39"/>
        <v>325.61920566826745</v>
      </c>
      <c r="R203" s="19">
        <f t="shared" ca="1" si="40"/>
        <v>-308.31788178204636</v>
      </c>
      <c r="S203" s="15">
        <f t="shared" ca="1" si="41"/>
        <v>1</v>
      </c>
    </row>
    <row r="204" spans="9:19">
      <c r="I204" s="15">
        <f t="shared" si="42"/>
        <v>200</v>
      </c>
      <c r="J204" s="16">
        <f t="shared" ca="1" si="43"/>
        <v>190.57316599361775</v>
      </c>
      <c r="K204" s="16">
        <f t="shared" ca="1" si="33"/>
        <v>79.426834006382251</v>
      </c>
      <c r="L204" s="16">
        <f t="shared" ca="1" si="34"/>
        <v>190.57316599361775</v>
      </c>
      <c r="M204" s="17">
        <f t="shared" ca="1" si="35"/>
        <v>397.13417003191125</v>
      </c>
      <c r="N204" s="17">
        <f t="shared" si="36"/>
        <v>20</v>
      </c>
      <c r="O204" s="17">
        <f t="shared" si="37"/>
        <v>-810</v>
      </c>
      <c r="P204" s="18">
        <f t="shared" ca="1" si="38"/>
        <v>-95.286582996808875</v>
      </c>
      <c r="Q204" s="18">
        <f t="shared" ca="1" si="39"/>
        <v>285.85974899042662</v>
      </c>
      <c r="R204" s="19">
        <f t="shared" ca="1" si="40"/>
        <v>-202.292663974471</v>
      </c>
      <c r="S204" s="15">
        <f t="shared" ca="1" si="41"/>
        <v>1</v>
      </c>
    </row>
    <row r="205" spans="9:19">
      <c r="I205" s="15">
        <f t="shared" si="42"/>
        <v>201</v>
      </c>
      <c r="J205" s="16">
        <f t="shared" ca="1" si="43"/>
        <v>328.9680478892991</v>
      </c>
      <c r="K205" s="16">
        <f t="shared" ca="1" si="33"/>
        <v>270</v>
      </c>
      <c r="L205" s="16">
        <f t="shared" ca="1" si="34"/>
        <v>0</v>
      </c>
      <c r="M205" s="17">
        <f t="shared" ca="1" si="35"/>
        <v>1350</v>
      </c>
      <c r="N205" s="17">
        <f t="shared" si="36"/>
        <v>20</v>
      </c>
      <c r="O205" s="17">
        <f t="shared" si="37"/>
        <v>-810</v>
      </c>
      <c r="P205" s="18">
        <f t="shared" ca="1" si="38"/>
        <v>0</v>
      </c>
      <c r="Q205" s="18">
        <f t="shared" ca="1" si="39"/>
        <v>0</v>
      </c>
      <c r="R205" s="19">
        <f t="shared" ca="1" si="40"/>
        <v>560</v>
      </c>
      <c r="S205" s="15">
        <f t="shared" ca="1" si="41"/>
        <v>0</v>
      </c>
    </row>
    <row r="206" spans="9:19">
      <c r="I206" s="15">
        <f t="shared" si="42"/>
        <v>202</v>
      </c>
      <c r="J206" s="16">
        <f t="shared" ca="1" si="43"/>
        <v>188.18093915071918</v>
      </c>
      <c r="K206" s="16">
        <f t="shared" ca="1" si="33"/>
        <v>81.819060849280817</v>
      </c>
      <c r="L206" s="16">
        <f t="shared" ca="1" si="34"/>
        <v>188.18093915071918</v>
      </c>
      <c r="M206" s="17">
        <f t="shared" ca="1" si="35"/>
        <v>409.09530424640411</v>
      </c>
      <c r="N206" s="17">
        <f t="shared" si="36"/>
        <v>20</v>
      </c>
      <c r="O206" s="17">
        <f t="shared" si="37"/>
        <v>-810</v>
      </c>
      <c r="P206" s="18">
        <f t="shared" ca="1" si="38"/>
        <v>-94.090469575359592</v>
      </c>
      <c r="Q206" s="18">
        <f t="shared" ca="1" si="39"/>
        <v>282.27140872607879</v>
      </c>
      <c r="R206" s="19">
        <f t="shared" ca="1" si="40"/>
        <v>-192.72375660287668</v>
      </c>
      <c r="S206" s="15">
        <f t="shared" ca="1" si="41"/>
        <v>1</v>
      </c>
    </row>
    <row r="207" spans="9:19">
      <c r="I207" s="15">
        <f t="shared" si="42"/>
        <v>203</v>
      </c>
      <c r="J207" s="16">
        <f t="shared" ca="1" si="43"/>
        <v>255.03965068845122</v>
      </c>
      <c r="K207" s="16">
        <f t="shared" ca="1" si="33"/>
        <v>14.960349311548782</v>
      </c>
      <c r="L207" s="16">
        <f t="shared" ca="1" si="34"/>
        <v>255.03965068845122</v>
      </c>
      <c r="M207" s="17">
        <f t="shared" ca="1" si="35"/>
        <v>74.801746557743911</v>
      </c>
      <c r="N207" s="17">
        <f t="shared" si="36"/>
        <v>20</v>
      </c>
      <c r="O207" s="17">
        <f t="shared" si="37"/>
        <v>-810</v>
      </c>
      <c r="P207" s="18">
        <f t="shared" ca="1" si="38"/>
        <v>-127.51982534422561</v>
      </c>
      <c r="Q207" s="18">
        <f t="shared" ca="1" si="39"/>
        <v>382.5594760326768</v>
      </c>
      <c r="R207" s="19">
        <f t="shared" ca="1" si="40"/>
        <v>-460.15860275380498</v>
      </c>
      <c r="S207" s="15">
        <f t="shared" ca="1" si="41"/>
        <v>1</v>
      </c>
    </row>
    <row r="208" spans="9:19">
      <c r="I208" s="15">
        <f t="shared" si="42"/>
        <v>204</v>
      </c>
      <c r="J208" s="16">
        <f t="shared" ca="1" si="43"/>
        <v>251.4825073898902</v>
      </c>
      <c r="K208" s="16">
        <f t="shared" ca="1" si="33"/>
        <v>18.517492610109798</v>
      </c>
      <c r="L208" s="16">
        <f t="shared" ca="1" si="34"/>
        <v>251.4825073898902</v>
      </c>
      <c r="M208" s="17">
        <f t="shared" ca="1" si="35"/>
        <v>92.58746305054899</v>
      </c>
      <c r="N208" s="17">
        <f t="shared" si="36"/>
        <v>20</v>
      </c>
      <c r="O208" s="17">
        <f t="shared" si="37"/>
        <v>-810</v>
      </c>
      <c r="P208" s="18">
        <f t="shared" ca="1" si="38"/>
        <v>-125.7412536949451</v>
      </c>
      <c r="Q208" s="18">
        <f t="shared" ca="1" si="39"/>
        <v>377.2237610848353</v>
      </c>
      <c r="R208" s="19">
        <f t="shared" ca="1" si="40"/>
        <v>-445.93002955956086</v>
      </c>
      <c r="S208" s="15">
        <f t="shared" ca="1" si="41"/>
        <v>1</v>
      </c>
    </row>
    <row r="209" spans="9:19">
      <c r="I209" s="15">
        <f t="shared" si="42"/>
        <v>205</v>
      </c>
      <c r="J209" s="16">
        <f t="shared" ca="1" si="43"/>
        <v>325.43289635707771</v>
      </c>
      <c r="K209" s="16">
        <f t="shared" ca="1" si="33"/>
        <v>270</v>
      </c>
      <c r="L209" s="16">
        <f t="shared" ca="1" si="34"/>
        <v>0</v>
      </c>
      <c r="M209" s="17">
        <f t="shared" ca="1" si="35"/>
        <v>1350</v>
      </c>
      <c r="N209" s="17">
        <f t="shared" si="36"/>
        <v>20</v>
      </c>
      <c r="O209" s="17">
        <f t="shared" si="37"/>
        <v>-810</v>
      </c>
      <c r="P209" s="18">
        <f t="shared" ca="1" si="38"/>
        <v>0</v>
      </c>
      <c r="Q209" s="18">
        <f t="shared" ca="1" si="39"/>
        <v>0</v>
      </c>
      <c r="R209" s="19">
        <f t="shared" ca="1" si="40"/>
        <v>560</v>
      </c>
      <c r="S209" s="15">
        <f t="shared" ca="1" si="41"/>
        <v>0</v>
      </c>
    </row>
    <row r="210" spans="9:19">
      <c r="I210" s="15">
        <f t="shared" si="42"/>
        <v>206</v>
      </c>
      <c r="J210" s="16">
        <f t="shared" ca="1" si="43"/>
        <v>389.99992592518805</v>
      </c>
      <c r="K210" s="16">
        <f t="shared" ca="1" si="33"/>
        <v>270</v>
      </c>
      <c r="L210" s="16">
        <f t="shared" ca="1" si="34"/>
        <v>0</v>
      </c>
      <c r="M210" s="17">
        <f t="shared" ca="1" si="35"/>
        <v>1350</v>
      </c>
      <c r="N210" s="17">
        <f t="shared" si="36"/>
        <v>20</v>
      </c>
      <c r="O210" s="17">
        <f t="shared" si="37"/>
        <v>-810</v>
      </c>
      <c r="P210" s="18">
        <f t="shared" ca="1" si="38"/>
        <v>0</v>
      </c>
      <c r="Q210" s="18">
        <f t="shared" ca="1" si="39"/>
        <v>0</v>
      </c>
      <c r="R210" s="19">
        <f t="shared" ca="1" si="40"/>
        <v>560</v>
      </c>
      <c r="S210" s="15">
        <f t="shared" ca="1" si="41"/>
        <v>0</v>
      </c>
    </row>
    <row r="211" spans="9:19">
      <c r="I211" s="15">
        <f t="shared" si="42"/>
        <v>207</v>
      </c>
      <c r="J211" s="16">
        <f t="shared" ca="1" si="43"/>
        <v>140.94784631558258</v>
      </c>
      <c r="K211" s="16">
        <f t="shared" ca="1" si="33"/>
        <v>129.05215368441742</v>
      </c>
      <c r="L211" s="16">
        <f t="shared" ca="1" si="34"/>
        <v>140.94784631558258</v>
      </c>
      <c r="M211" s="17">
        <f t="shared" ca="1" si="35"/>
        <v>645.26076842208704</v>
      </c>
      <c r="N211" s="17">
        <f t="shared" si="36"/>
        <v>20</v>
      </c>
      <c r="O211" s="17">
        <f t="shared" si="37"/>
        <v>-810</v>
      </c>
      <c r="P211" s="18">
        <f t="shared" ca="1" si="38"/>
        <v>-70.47392315779129</v>
      </c>
      <c r="Q211" s="18">
        <f t="shared" ca="1" si="39"/>
        <v>211.42176947337387</v>
      </c>
      <c r="R211" s="19">
        <f t="shared" ca="1" si="40"/>
        <v>-3.7913852623303796</v>
      </c>
      <c r="S211" s="15">
        <f t="shared" ca="1" si="41"/>
        <v>1</v>
      </c>
    </row>
    <row r="212" spans="9:19">
      <c r="I212" s="15">
        <f t="shared" si="42"/>
        <v>208</v>
      </c>
      <c r="J212" s="16">
        <f t="shared" ca="1" si="43"/>
        <v>144.65449773036394</v>
      </c>
      <c r="K212" s="16">
        <f t="shared" ca="1" si="33"/>
        <v>125.34550226963606</v>
      </c>
      <c r="L212" s="16">
        <f t="shared" ca="1" si="34"/>
        <v>144.65449773036394</v>
      </c>
      <c r="M212" s="17">
        <f t="shared" ca="1" si="35"/>
        <v>626.72751134818031</v>
      </c>
      <c r="N212" s="17">
        <f t="shared" si="36"/>
        <v>20</v>
      </c>
      <c r="O212" s="17">
        <f t="shared" si="37"/>
        <v>-810</v>
      </c>
      <c r="P212" s="18">
        <f t="shared" ca="1" si="38"/>
        <v>-72.327248865181971</v>
      </c>
      <c r="Q212" s="18">
        <f t="shared" ca="1" si="39"/>
        <v>216.98174659554593</v>
      </c>
      <c r="R212" s="19">
        <f t="shared" ca="1" si="40"/>
        <v>-18.617990921455714</v>
      </c>
      <c r="S212" s="15">
        <f t="shared" ca="1" si="41"/>
        <v>1</v>
      </c>
    </row>
    <row r="213" spans="9:19">
      <c r="I213" s="15">
        <f t="shared" si="42"/>
        <v>209</v>
      </c>
      <c r="J213" s="16">
        <f t="shared" ca="1" si="43"/>
        <v>327.03830981231965</v>
      </c>
      <c r="K213" s="16">
        <f t="shared" ca="1" si="33"/>
        <v>270</v>
      </c>
      <c r="L213" s="16">
        <f t="shared" ca="1" si="34"/>
        <v>0</v>
      </c>
      <c r="M213" s="17">
        <f t="shared" ca="1" si="35"/>
        <v>1350</v>
      </c>
      <c r="N213" s="17">
        <f t="shared" si="36"/>
        <v>20</v>
      </c>
      <c r="O213" s="17">
        <f t="shared" si="37"/>
        <v>-810</v>
      </c>
      <c r="P213" s="18">
        <f t="shared" ca="1" si="38"/>
        <v>0</v>
      </c>
      <c r="Q213" s="18">
        <f t="shared" ca="1" si="39"/>
        <v>0</v>
      </c>
      <c r="R213" s="19">
        <f t="shared" ca="1" si="40"/>
        <v>560</v>
      </c>
      <c r="S213" s="15">
        <f t="shared" ca="1" si="41"/>
        <v>0</v>
      </c>
    </row>
    <row r="214" spans="9:19">
      <c r="I214" s="15">
        <f t="shared" si="42"/>
        <v>210</v>
      </c>
      <c r="J214" s="16">
        <f t="shared" ca="1" si="43"/>
        <v>178.60151179383445</v>
      </c>
      <c r="K214" s="16">
        <f t="shared" ca="1" si="33"/>
        <v>91.398488206165553</v>
      </c>
      <c r="L214" s="16">
        <f t="shared" ca="1" si="34"/>
        <v>178.60151179383445</v>
      </c>
      <c r="M214" s="17">
        <f t="shared" ca="1" si="35"/>
        <v>456.99244103082776</v>
      </c>
      <c r="N214" s="17">
        <f t="shared" si="36"/>
        <v>20</v>
      </c>
      <c r="O214" s="17">
        <f t="shared" si="37"/>
        <v>-810</v>
      </c>
      <c r="P214" s="18">
        <f t="shared" ca="1" si="38"/>
        <v>-89.300755896917224</v>
      </c>
      <c r="Q214" s="18">
        <f t="shared" ca="1" si="39"/>
        <v>267.90226769075167</v>
      </c>
      <c r="R214" s="19">
        <f t="shared" ca="1" si="40"/>
        <v>-154.40604717533779</v>
      </c>
      <c r="S214" s="15">
        <f t="shared" ca="1" si="41"/>
        <v>1</v>
      </c>
    </row>
    <row r="215" spans="9:19">
      <c r="I215" s="15">
        <f t="shared" si="42"/>
        <v>211</v>
      </c>
      <c r="J215" s="16">
        <f t="shared" ca="1" si="43"/>
        <v>340.16306830226335</v>
      </c>
      <c r="K215" s="16">
        <f t="shared" ca="1" si="33"/>
        <v>270</v>
      </c>
      <c r="L215" s="16">
        <f t="shared" ca="1" si="34"/>
        <v>0</v>
      </c>
      <c r="M215" s="17">
        <f t="shared" ca="1" si="35"/>
        <v>1350</v>
      </c>
      <c r="N215" s="17">
        <f t="shared" si="36"/>
        <v>20</v>
      </c>
      <c r="O215" s="17">
        <f t="shared" si="37"/>
        <v>-810</v>
      </c>
      <c r="P215" s="18">
        <f t="shared" ca="1" si="38"/>
        <v>0</v>
      </c>
      <c r="Q215" s="18">
        <f t="shared" ca="1" si="39"/>
        <v>0</v>
      </c>
      <c r="R215" s="19">
        <f t="shared" ca="1" si="40"/>
        <v>560</v>
      </c>
      <c r="S215" s="15">
        <f t="shared" ca="1" si="41"/>
        <v>0</v>
      </c>
    </row>
    <row r="216" spans="9:19">
      <c r="I216" s="15">
        <f t="shared" si="42"/>
        <v>212</v>
      </c>
      <c r="J216" s="16">
        <f t="shared" ca="1" si="43"/>
        <v>205.32970106032525</v>
      </c>
      <c r="K216" s="16">
        <f t="shared" ca="1" si="33"/>
        <v>64.670298939674751</v>
      </c>
      <c r="L216" s="16">
        <f t="shared" ca="1" si="34"/>
        <v>205.32970106032525</v>
      </c>
      <c r="M216" s="17">
        <f t="shared" ca="1" si="35"/>
        <v>323.35149469837376</v>
      </c>
      <c r="N216" s="17">
        <f t="shared" si="36"/>
        <v>20</v>
      </c>
      <c r="O216" s="17">
        <f t="shared" si="37"/>
        <v>-810</v>
      </c>
      <c r="P216" s="18">
        <f t="shared" ca="1" si="38"/>
        <v>-102.66485053016262</v>
      </c>
      <c r="Q216" s="18">
        <f t="shared" ca="1" si="39"/>
        <v>307.99455159048784</v>
      </c>
      <c r="R216" s="19">
        <f t="shared" ca="1" si="40"/>
        <v>-261.318804241301</v>
      </c>
      <c r="S216" s="15">
        <f t="shared" ca="1" si="41"/>
        <v>1</v>
      </c>
    </row>
    <row r="217" spans="9:19">
      <c r="I217" s="15">
        <f t="shared" si="42"/>
        <v>213</v>
      </c>
      <c r="J217" s="16">
        <f t="shared" ca="1" si="43"/>
        <v>265.48793062620342</v>
      </c>
      <c r="K217" s="16">
        <f t="shared" ca="1" si="33"/>
        <v>4.512069373796578</v>
      </c>
      <c r="L217" s="16">
        <f t="shared" ca="1" si="34"/>
        <v>265.48793062620342</v>
      </c>
      <c r="M217" s="17">
        <f t="shared" ca="1" si="35"/>
        <v>22.56034686898289</v>
      </c>
      <c r="N217" s="17">
        <f t="shared" si="36"/>
        <v>20</v>
      </c>
      <c r="O217" s="17">
        <f t="shared" si="37"/>
        <v>-810</v>
      </c>
      <c r="P217" s="18">
        <f t="shared" ca="1" si="38"/>
        <v>-132.74396531310171</v>
      </c>
      <c r="Q217" s="18">
        <f t="shared" ca="1" si="39"/>
        <v>398.2318959393051</v>
      </c>
      <c r="R217" s="19">
        <f t="shared" ca="1" si="40"/>
        <v>-501.9517225048138</v>
      </c>
      <c r="S217" s="15">
        <f t="shared" ca="1" si="41"/>
        <v>1</v>
      </c>
    </row>
    <row r="218" spans="9:19">
      <c r="I218" s="15">
        <f t="shared" si="42"/>
        <v>214</v>
      </c>
      <c r="J218" s="16">
        <f t="shared" ca="1" si="43"/>
        <v>351.14569326740883</v>
      </c>
      <c r="K218" s="16">
        <f t="shared" ca="1" si="33"/>
        <v>270</v>
      </c>
      <c r="L218" s="16">
        <f t="shared" ca="1" si="34"/>
        <v>0</v>
      </c>
      <c r="M218" s="17">
        <f t="shared" ca="1" si="35"/>
        <v>1350</v>
      </c>
      <c r="N218" s="17">
        <f t="shared" si="36"/>
        <v>20</v>
      </c>
      <c r="O218" s="17">
        <f t="shared" si="37"/>
        <v>-810</v>
      </c>
      <c r="P218" s="18">
        <f t="shared" ca="1" si="38"/>
        <v>0</v>
      </c>
      <c r="Q218" s="18">
        <f t="shared" ca="1" si="39"/>
        <v>0</v>
      </c>
      <c r="R218" s="19">
        <f t="shared" ca="1" si="40"/>
        <v>560</v>
      </c>
      <c r="S218" s="15">
        <f t="shared" ca="1" si="41"/>
        <v>0</v>
      </c>
    </row>
    <row r="219" spans="9:19">
      <c r="I219" s="15">
        <f t="shared" si="42"/>
        <v>215</v>
      </c>
      <c r="J219" s="16">
        <f t="shared" ca="1" si="43"/>
        <v>410.41691402781606</v>
      </c>
      <c r="K219" s="16">
        <f t="shared" ca="1" si="33"/>
        <v>270</v>
      </c>
      <c r="L219" s="16">
        <f t="shared" ca="1" si="34"/>
        <v>0</v>
      </c>
      <c r="M219" s="17">
        <f t="shared" ca="1" si="35"/>
        <v>1350</v>
      </c>
      <c r="N219" s="17">
        <f t="shared" si="36"/>
        <v>20</v>
      </c>
      <c r="O219" s="17">
        <f t="shared" si="37"/>
        <v>-810</v>
      </c>
      <c r="P219" s="18">
        <f t="shared" ca="1" si="38"/>
        <v>0</v>
      </c>
      <c r="Q219" s="18">
        <f t="shared" ca="1" si="39"/>
        <v>0</v>
      </c>
      <c r="R219" s="19">
        <f t="shared" ca="1" si="40"/>
        <v>560</v>
      </c>
      <c r="S219" s="15">
        <f t="shared" ca="1" si="41"/>
        <v>0</v>
      </c>
    </row>
    <row r="220" spans="9:19">
      <c r="I220" s="15">
        <f t="shared" si="42"/>
        <v>216</v>
      </c>
      <c r="J220" s="16">
        <f t="shared" ca="1" si="43"/>
        <v>391.27323766622419</v>
      </c>
      <c r="K220" s="16">
        <f t="shared" ca="1" si="33"/>
        <v>270</v>
      </c>
      <c r="L220" s="16">
        <f t="shared" ca="1" si="34"/>
        <v>0</v>
      </c>
      <c r="M220" s="17">
        <f t="shared" ca="1" si="35"/>
        <v>1350</v>
      </c>
      <c r="N220" s="17">
        <f t="shared" si="36"/>
        <v>20</v>
      </c>
      <c r="O220" s="17">
        <f t="shared" si="37"/>
        <v>-810</v>
      </c>
      <c r="P220" s="18">
        <f t="shared" ca="1" si="38"/>
        <v>0</v>
      </c>
      <c r="Q220" s="18">
        <f t="shared" ca="1" si="39"/>
        <v>0</v>
      </c>
      <c r="R220" s="19">
        <f t="shared" ca="1" si="40"/>
        <v>560</v>
      </c>
      <c r="S220" s="15">
        <f t="shared" ca="1" si="41"/>
        <v>0</v>
      </c>
    </row>
    <row r="221" spans="9:19">
      <c r="I221" s="15">
        <f t="shared" si="42"/>
        <v>217</v>
      </c>
      <c r="J221" s="16">
        <f t="shared" ca="1" si="43"/>
        <v>318.63192457508865</v>
      </c>
      <c r="K221" s="16">
        <f t="shared" ca="1" si="33"/>
        <v>270</v>
      </c>
      <c r="L221" s="16">
        <f t="shared" ca="1" si="34"/>
        <v>0</v>
      </c>
      <c r="M221" s="17">
        <f t="shared" ca="1" si="35"/>
        <v>1350</v>
      </c>
      <c r="N221" s="17">
        <f t="shared" si="36"/>
        <v>20</v>
      </c>
      <c r="O221" s="17">
        <f t="shared" si="37"/>
        <v>-810</v>
      </c>
      <c r="P221" s="18">
        <f t="shared" ca="1" si="38"/>
        <v>0</v>
      </c>
      <c r="Q221" s="18">
        <f t="shared" ca="1" si="39"/>
        <v>0</v>
      </c>
      <c r="R221" s="19">
        <f t="shared" ca="1" si="40"/>
        <v>560</v>
      </c>
      <c r="S221" s="15">
        <f t="shared" ca="1" si="41"/>
        <v>0</v>
      </c>
    </row>
    <row r="222" spans="9:19">
      <c r="I222" s="15">
        <f t="shared" si="42"/>
        <v>218</v>
      </c>
      <c r="J222" s="16">
        <f t="shared" ca="1" si="43"/>
        <v>135.3240436212312</v>
      </c>
      <c r="K222" s="16">
        <f t="shared" ca="1" si="33"/>
        <v>134.6759563787688</v>
      </c>
      <c r="L222" s="16">
        <f t="shared" ca="1" si="34"/>
        <v>135.3240436212312</v>
      </c>
      <c r="M222" s="17">
        <f t="shared" ca="1" si="35"/>
        <v>673.37978189384398</v>
      </c>
      <c r="N222" s="17">
        <f t="shared" si="36"/>
        <v>20</v>
      </c>
      <c r="O222" s="17">
        <f t="shared" si="37"/>
        <v>-810</v>
      </c>
      <c r="P222" s="18">
        <f t="shared" ca="1" si="38"/>
        <v>-67.662021810615599</v>
      </c>
      <c r="Q222" s="18">
        <f t="shared" ca="1" si="39"/>
        <v>202.98606543184678</v>
      </c>
      <c r="R222" s="19">
        <f t="shared" ca="1" si="40"/>
        <v>18.703825515075152</v>
      </c>
      <c r="S222" s="15">
        <f t="shared" ca="1" si="41"/>
        <v>0</v>
      </c>
    </row>
    <row r="223" spans="9:19">
      <c r="I223" s="15">
        <f t="shared" si="42"/>
        <v>219</v>
      </c>
      <c r="J223" s="16">
        <f t="shared" ca="1" si="43"/>
        <v>352.32754471569905</v>
      </c>
      <c r="K223" s="16">
        <f t="shared" ca="1" si="33"/>
        <v>270</v>
      </c>
      <c r="L223" s="16">
        <f t="shared" ca="1" si="34"/>
        <v>0</v>
      </c>
      <c r="M223" s="17">
        <f t="shared" ca="1" si="35"/>
        <v>1350</v>
      </c>
      <c r="N223" s="17">
        <f t="shared" si="36"/>
        <v>20</v>
      </c>
      <c r="O223" s="17">
        <f t="shared" si="37"/>
        <v>-810</v>
      </c>
      <c r="P223" s="18">
        <f t="shared" ca="1" si="38"/>
        <v>0</v>
      </c>
      <c r="Q223" s="18">
        <f t="shared" ca="1" si="39"/>
        <v>0</v>
      </c>
      <c r="R223" s="19">
        <f t="shared" ca="1" si="40"/>
        <v>560</v>
      </c>
      <c r="S223" s="15">
        <f t="shared" ca="1" si="41"/>
        <v>0</v>
      </c>
    </row>
    <row r="224" spans="9:19">
      <c r="I224" s="15">
        <f t="shared" si="42"/>
        <v>220</v>
      </c>
      <c r="J224" s="16">
        <f t="shared" ca="1" si="43"/>
        <v>375.91478246627423</v>
      </c>
      <c r="K224" s="16">
        <f t="shared" ca="1" si="33"/>
        <v>270</v>
      </c>
      <c r="L224" s="16">
        <f t="shared" ca="1" si="34"/>
        <v>0</v>
      </c>
      <c r="M224" s="17">
        <f t="shared" ca="1" si="35"/>
        <v>1350</v>
      </c>
      <c r="N224" s="17">
        <f t="shared" si="36"/>
        <v>20</v>
      </c>
      <c r="O224" s="17">
        <f t="shared" si="37"/>
        <v>-810</v>
      </c>
      <c r="P224" s="18">
        <f t="shared" ca="1" si="38"/>
        <v>0</v>
      </c>
      <c r="Q224" s="18">
        <f t="shared" ca="1" si="39"/>
        <v>0</v>
      </c>
      <c r="R224" s="19">
        <f t="shared" ca="1" si="40"/>
        <v>560</v>
      </c>
      <c r="S224" s="15">
        <f t="shared" ca="1" si="41"/>
        <v>0</v>
      </c>
    </row>
    <row r="225" spans="9:19">
      <c r="I225" s="15">
        <f t="shared" si="42"/>
        <v>221</v>
      </c>
      <c r="J225" s="16">
        <f t="shared" ca="1" si="43"/>
        <v>359.03206723033134</v>
      </c>
      <c r="K225" s="16">
        <f t="shared" ca="1" si="33"/>
        <v>270</v>
      </c>
      <c r="L225" s="16">
        <f t="shared" ca="1" si="34"/>
        <v>0</v>
      </c>
      <c r="M225" s="17">
        <f t="shared" ca="1" si="35"/>
        <v>1350</v>
      </c>
      <c r="N225" s="17">
        <f t="shared" si="36"/>
        <v>20</v>
      </c>
      <c r="O225" s="17">
        <f t="shared" si="37"/>
        <v>-810</v>
      </c>
      <c r="P225" s="18">
        <f t="shared" ca="1" si="38"/>
        <v>0</v>
      </c>
      <c r="Q225" s="18">
        <f t="shared" ca="1" si="39"/>
        <v>0</v>
      </c>
      <c r="R225" s="19">
        <f t="shared" ca="1" si="40"/>
        <v>560</v>
      </c>
      <c r="S225" s="15">
        <f t="shared" ca="1" si="41"/>
        <v>0</v>
      </c>
    </row>
    <row r="226" spans="9:19">
      <c r="I226" s="15">
        <f t="shared" si="42"/>
        <v>222</v>
      </c>
      <c r="J226" s="16">
        <f t="shared" ca="1" si="43"/>
        <v>274.6725657785102</v>
      </c>
      <c r="K226" s="16">
        <f t="shared" ca="1" si="33"/>
        <v>270</v>
      </c>
      <c r="L226" s="16">
        <f t="shared" ca="1" si="34"/>
        <v>0</v>
      </c>
      <c r="M226" s="17">
        <f t="shared" ca="1" si="35"/>
        <v>1350</v>
      </c>
      <c r="N226" s="17">
        <f t="shared" si="36"/>
        <v>20</v>
      </c>
      <c r="O226" s="17">
        <f t="shared" si="37"/>
        <v>-810</v>
      </c>
      <c r="P226" s="18">
        <f t="shared" ca="1" si="38"/>
        <v>0</v>
      </c>
      <c r="Q226" s="18">
        <f t="shared" ca="1" si="39"/>
        <v>0</v>
      </c>
      <c r="R226" s="19">
        <f t="shared" ca="1" si="40"/>
        <v>560</v>
      </c>
      <c r="S226" s="15">
        <f t="shared" ca="1" si="41"/>
        <v>0</v>
      </c>
    </row>
    <row r="227" spans="9:19">
      <c r="I227" s="15">
        <f t="shared" si="42"/>
        <v>223</v>
      </c>
      <c r="J227" s="16">
        <f t="shared" ca="1" si="43"/>
        <v>172.03133995092642</v>
      </c>
      <c r="K227" s="16">
        <f t="shared" ca="1" si="33"/>
        <v>97.968660049073577</v>
      </c>
      <c r="L227" s="16">
        <f t="shared" ca="1" si="34"/>
        <v>172.03133995092642</v>
      </c>
      <c r="M227" s="17">
        <f t="shared" ca="1" si="35"/>
        <v>489.84330024536791</v>
      </c>
      <c r="N227" s="17">
        <f t="shared" si="36"/>
        <v>20</v>
      </c>
      <c r="O227" s="17">
        <f t="shared" si="37"/>
        <v>-810</v>
      </c>
      <c r="P227" s="18">
        <f t="shared" ca="1" si="38"/>
        <v>-86.015669975463211</v>
      </c>
      <c r="Q227" s="18">
        <f t="shared" ca="1" si="39"/>
        <v>258.04700992638965</v>
      </c>
      <c r="R227" s="19">
        <f t="shared" ca="1" si="40"/>
        <v>-128.12535980370563</v>
      </c>
      <c r="S227" s="15">
        <f t="shared" ca="1" si="41"/>
        <v>1</v>
      </c>
    </row>
    <row r="228" spans="9:19">
      <c r="I228" s="15">
        <f t="shared" si="42"/>
        <v>224</v>
      </c>
      <c r="J228" s="16">
        <f t="shared" ca="1" si="43"/>
        <v>167.24473591957863</v>
      </c>
      <c r="K228" s="16">
        <f t="shared" ca="1" si="33"/>
        <v>102.75526408042137</v>
      </c>
      <c r="L228" s="16">
        <f t="shared" ca="1" si="34"/>
        <v>167.24473591957863</v>
      </c>
      <c r="M228" s="17">
        <f t="shared" ca="1" si="35"/>
        <v>513.77632040210688</v>
      </c>
      <c r="N228" s="17">
        <f t="shared" si="36"/>
        <v>20</v>
      </c>
      <c r="O228" s="17">
        <f t="shared" si="37"/>
        <v>-810</v>
      </c>
      <c r="P228" s="18">
        <f t="shared" ca="1" si="38"/>
        <v>-83.622367959789315</v>
      </c>
      <c r="Q228" s="18">
        <f t="shared" ca="1" si="39"/>
        <v>250.86710387936796</v>
      </c>
      <c r="R228" s="19">
        <f t="shared" ca="1" si="40"/>
        <v>-108.97894367831447</v>
      </c>
      <c r="S228" s="15">
        <f t="shared" ca="1" si="41"/>
        <v>1</v>
      </c>
    </row>
    <row r="229" spans="9:19">
      <c r="I229" s="15">
        <f t="shared" si="42"/>
        <v>225</v>
      </c>
      <c r="J229" s="16">
        <f t="shared" ca="1" si="43"/>
        <v>284.04748620774865</v>
      </c>
      <c r="K229" s="16">
        <f t="shared" ca="1" si="33"/>
        <v>270</v>
      </c>
      <c r="L229" s="16">
        <f t="shared" ca="1" si="34"/>
        <v>0</v>
      </c>
      <c r="M229" s="17">
        <f t="shared" ca="1" si="35"/>
        <v>1350</v>
      </c>
      <c r="N229" s="17">
        <f t="shared" si="36"/>
        <v>20</v>
      </c>
      <c r="O229" s="17">
        <f t="shared" si="37"/>
        <v>-810</v>
      </c>
      <c r="P229" s="18">
        <f t="shared" ca="1" si="38"/>
        <v>0</v>
      </c>
      <c r="Q229" s="18">
        <f t="shared" ca="1" si="39"/>
        <v>0</v>
      </c>
      <c r="R229" s="19">
        <f t="shared" ca="1" si="40"/>
        <v>560</v>
      </c>
      <c r="S229" s="15">
        <f t="shared" ca="1" si="41"/>
        <v>0</v>
      </c>
    </row>
    <row r="230" spans="9:19">
      <c r="I230" s="15">
        <f t="shared" si="42"/>
        <v>226</v>
      </c>
      <c r="J230" s="16">
        <f t="shared" ca="1" si="43"/>
        <v>202.10498081068042</v>
      </c>
      <c r="K230" s="16">
        <f t="shared" ca="1" si="33"/>
        <v>67.895019189319584</v>
      </c>
      <c r="L230" s="16">
        <f t="shared" ca="1" si="34"/>
        <v>202.10498081068042</v>
      </c>
      <c r="M230" s="17">
        <f t="shared" ca="1" si="35"/>
        <v>339.47509594659789</v>
      </c>
      <c r="N230" s="17">
        <f t="shared" si="36"/>
        <v>20</v>
      </c>
      <c r="O230" s="17">
        <f t="shared" si="37"/>
        <v>-810</v>
      </c>
      <c r="P230" s="18">
        <f t="shared" ca="1" si="38"/>
        <v>-101.05249040534021</v>
      </c>
      <c r="Q230" s="18">
        <f t="shared" ca="1" si="39"/>
        <v>303.15747121602061</v>
      </c>
      <c r="R230" s="19">
        <f t="shared" ca="1" si="40"/>
        <v>-248.41992324272172</v>
      </c>
      <c r="S230" s="15">
        <f t="shared" ca="1" si="41"/>
        <v>1</v>
      </c>
    </row>
    <row r="231" spans="9:19">
      <c r="I231" s="15">
        <f t="shared" si="42"/>
        <v>227</v>
      </c>
      <c r="J231" s="16">
        <f t="shared" ca="1" si="43"/>
        <v>297.2704307654343</v>
      </c>
      <c r="K231" s="16">
        <f t="shared" ca="1" si="33"/>
        <v>270</v>
      </c>
      <c r="L231" s="16">
        <f t="shared" ca="1" si="34"/>
        <v>0</v>
      </c>
      <c r="M231" s="17">
        <f t="shared" ca="1" si="35"/>
        <v>1350</v>
      </c>
      <c r="N231" s="17">
        <f t="shared" si="36"/>
        <v>20</v>
      </c>
      <c r="O231" s="17">
        <f t="shared" si="37"/>
        <v>-810</v>
      </c>
      <c r="P231" s="18">
        <f t="shared" ca="1" si="38"/>
        <v>0</v>
      </c>
      <c r="Q231" s="18">
        <f t="shared" ca="1" si="39"/>
        <v>0</v>
      </c>
      <c r="R231" s="19">
        <f t="shared" ca="1" si="40"/>
        <v>560</v>
      </c>
      <c r="S231" s="15">
        <f t="shared" ca="1" si="41"/>
        <v>0</v>
      </c>
    </row>
    <row r="232" spans="9:19">
      <c r="I232" s="15">
        <f t="shared" si="42"/>
        <v>228</v>
      </c>
      <c r="J232" s="16">
        <f t="shared" ca="1" si="43"/>
        <v>355.70152004594797</v>
      </c>
      <c r="K232" s="16">
        <f t="shared" ca="1" si="33"/>
        <v>270</v>
      </c>
      <c r="L232" s="16">
        <f t="shared" ca="1" si="34"/>
        <v>0</v>
      </c>
      <c r="M232" s="17">
        <f t="shared" ca="1" si="35"/>
        <v>1350</v>
      </c>
      <c r="N232" s="17">
        <f t="shared" si="36"/>
        <v>20</v>
      </c>
      <c r="O232" s="17">
        <f t="shared" si="37"/>
        <v>-810</v>
      </c>
      <c r="P232" s="18">
        <f t="shared" ca="1" si="38"/>
        <v>0</v>
      </c>
      <c r="Q232" s="18">
        <f t="shared" ca="1" si="39"/>
        <v>0</v>
      </c>
      <c r="R232" s="19">
        <f t="shared" ca="1" si="40"/>
        <v>560</v>
      </c>
      <c r="S232" s="15">
        <f t="shared" ca="1" si="41"/>
        <v>0</v>
      </c>
    </row>
    <row r="233" spans="9:19">
      <c r="I233" s="15">
        <f t="shared" si="42"/>
        <v>229</v>
      </c>
      <c r="J233" s="16">
        <f t="shared" ca="1" si="43"/>
        <v>186.04252178297526</v>
      </c>
      <c r="K233" s="16">
        <f t="shared" ca="1" si="33"/>
        <v>83.957478217024743</v>
      </c>
      <c r="L233" s="16">
        <f t="shared" ca="1" si="34"/>
        <v>186.04252178297526</v>
      </c>
      <c r="M233" s="17">
        <f t="shared" ca="1" si="35"/>
        <v>419.78739108512372</v>
      </c>
      <c r="N233" s="17">
        <f t="shared" si="36"/>
        <v>20</v>
      </c>
      <c r="O233" s="17">
        <f t="shared" si="37"/>
        <v>-810</v>
      </c>
      <c r="P233" s="18">
        <f t="shared" ca="1" si="38"/>
        <v>-93.021260891487628</v>
      </c>
      <c r="Q233" s="18">
        <f t="shared" ca="1" si="39"/>
        <v>279.06378267446291</v>
      </c>
      <c r="R233" s="19">
        <f t="shared" ca="1" si="40"/>
        <v>-184.17008713190103</v>
      </c>
      <c r="S233" s="15">
        <f t="shared" ca="1" si="41"/>
        <v>1</v>
      </c>
    </row>
    <row r="234" spans="9:19">
      <c r="I234" s="15">
        <f t="shared" si="42"/>
        <v>230</v>
      </c>
      <c r="J234" s="16">
        <f t="shared" ca="1" si="43"/>
        <v>250.58368041556085</v>
      </c>
      <c r="K234" s="16">
        <f t="shared" ca="1" si="33"/>
        <v>19.416319584439151</v>
      </c>
      <c r="L234" s="16">
        <f t="shared" ca="1" si="34"/>
        <v>250.58368041556085</v>
      </c>
      <c r="M234" s="17">
        <f t="shared" ca="1" si="35"/>
        <v>97.081597922195755</v>
      </c>
      <c r="N234" s="17">
        <f t="shared" si="36"/>
        <v>20</v>
      </c>
      <c r="O234" s="17">
        <f t="shared" si="37"/>
        <v>-810</v>
      </c>
      <c r="P234" s="18">
        <f t="shared" ca="1" si="38"/>
        <v>-125.29184020778042</v>
      </c>
      <c r="Q234" s="18">
        <f t="shared" ca="1" si="39"/>
        <v>375.87552062334129</v>
      </c>
      <c r="R234" s="19">
        <f t="shared" ca="1" si="40"/>
        <v>-442.33472166224334</v>
      </c>
      <c r="S234" s="15">
        <f t="shared" ca="1" si="41"/>
        <v>1</v>
      </c>
    </row>
    <row r="235" spans="9:19">
      <c r="I235" s="15">
        <f t="shared" si="42"/>
        <v>231</v>
      </c>
      <c r="J235" s="16">
        <f t="shared" ca="1" si="43"/>
        <v>366.76238117993722</v>
      </c>
      <c r="K235" s="16">
        <f t="shared" ca="1" si="33"/>
        <v>270</v>
      </c>
      <c r="L235" s="16">
        <f t="shared" ca="1" si="34"/>
        <v>0</v>
      </c>
      <c r="M235" s="17">
        <f t="shared" ca="1" si="35"/>
        <v>1350</v>
      </c>
      <c r="N235" s="17">
        <f t="shared" si="36"/>
        <v>20</v>
      </c>
      <c r="O235" s="17">
        <f t="shared" si="37"/>
        <v>-810</v>
      </c>
      <c r="P235" s="18">
        <f t="shared" ca="1" si="38"/>
        <v>0</v>
      </c>
      <c r="Q235" s="18">
        <f t="shared" ca="1" si="39"/>
        <v>0</v>
      </c>
      <c r="R235" s="19">
        <f t="shared" ca="1" si="40"/>
        <v>560</v>
      </c>
      <c r="S235" s="15">
        <f t="shared" ca="1" si="41"/>
        <v>0</v>
      </c>
    </row>
    <row r="236" spans="9:19">
      <c r="I236" s="15">
        <f t="shared" si="42"/>
        <v>232</v>
      </c>
      <c r="J236" s="16">
        <f t="shared" ca="1" si="43"/>
        <v>214.30891556897586</v>
      </c>
      <c r="K236" s="16">
        <f t="shared" ca="1" si="33"/>
        <v>55.691084431024137</v>
      </c>
      <c r="L236" s="16">
        <f t="shared" ca="1" si="34"/>
        <v>214.30891556897586</v>
      </c>
      <c r="M236" s="17">
        <f t="shared" ca="1" si="35"/>
        <v>278.45542215512069</v>
      </c>
      <c r="N236" s="17">
        <f t="shared" si="36"/>
        <v>20</v>
      </c>
      <c r="O236" s="17">
        <f t="shared" si="37"/>
        <v>-810</v>
      </c>
      <c r="P236" s="18">
        <f t="shared" ca="1" si="38"/>
        <v>-107.15445778448793</v>
      </c>
      <c r="Q236" s="18">
        <f t="shared" ca="1" si="39"/>
        <v>321.46337335346379</v>
      </c>
      <c r="R236" s="19">
        <f t="shared" ca="1" si="40"/>
        <v>-297.23566227590345</v>
      </c>
      <c r="S236" s="15">
        <f t="shared" ca="1" si="41"/>
        <v>1</v>
      </c>
    </row>
    <row r="237" spans="9:19">
      <c r="I237" s="15">
        <f t="shared" si="42"/>
        <v>233</v>
      </c>
      <c r="J237" s="16">
        <f t="shared" ca="1" si="43"/>
        <v>285.03193438237986</v>
      </c>
      <c r="K237" s="16">
        <f t="shared" ca="1" si="33"/>
        <v>270</v>
      </c>
      <c r="L237" s="16">
        <f t="shared" ca="1" si="34"/>
        <v>0</v>
      </c>
      <c r="M237" s="17">
        <f t="shared" ca="1" si="35"/>
        <v>1350</v>
      </c>
      <c r="N237" s="17">
        <f t="shared" si="36"/>
        <v>20</v>
      </c>
      <c r="O237" s="17">
        <f t="shared" si="37"/>
        <v>-810</v>
      </c>
      <c r="P237" s="18">
        <f t="shared" ca="1" si="38"/>
        <v>0</v>
      </c>
      <c r="Q237" s="18">
        <f t="shared" ca="1" si="39"/>
        <v>0</v>
      </c>
      <c r="R237" s="19">
        <f t="shared" ca="1" si="40"/>
        <v>560</v>
      </c>
      <c r="S237" s="15">
        <f t="shared" ca="1" si="41"/>
        <v>0</v>
      </c>
    </row>
    <row r="238" spans="9:19">
      <c r="I238" s="15">
        <f t="shared" si="42"/>
        <v>234</v>
      </c>
      <c r="J238" s="16">
        <f t="shared" ca="1" si="43"/>
        <v>314.66324908347758</v>
      </c>
      <c r="K238" s="16">
        <f t="shared" ca="1" si="33"/>
        <v>270</v>
      </c>
      <c r="L238" s="16">
        <f t="shared" ca="1" si="34"/>
        <v>0</v>
      </c>
      <c r="M238" s="17">
        <f t="shared" ca="1" si="35"/>
        <v>1350</v>
      </c>
      <c r="N238" s="17">
        <f t="shared" si="36"/>
        <v>20</v>
      </c>
      <c r="O238" s="17">
        <f t="shared" si="37"/>
        <v>-810</v>
      </c>
      <c r="P238" s="18">
        <f t="shared" ca="1" si="38"/>
        <v>0</v>
      </c>
      <c r="Q238" s="18">
        <f t="shared" ca="1" si="39"/>
        <v>0</v>
      </c>
      <c r="R238" s="19">
        <f t="shared" ca="1" si="40"/>
        <v>560</v>
      </c>
      <c r="S238" s="15">
        <f t="shared" ca="1" si="41"/>
        <v>0</v>
      </c>
    </row>
    <row r="239" spans="9:19">
      <c r="I239" s="15">
        <f t="shared" si="42"/>
        <v>235</v>
      </c>
      <c r="J239" s="16">
        <f t="shared" ca="1" si="43"/>
        <v>224.38464451213994</v>
      </c>
      <c r="K239" s="16">
        <f t="shared" ca="1" si="33"/>
        <v>45.615355487860057</v>
      </c>
      <c r="L239" s="16">
        <f t="shared" ca="1" si="34"/>
        <v>224.38464451213994</v>
      </c>
      <c r="M239" s="17">
        <f t="shared" ca="1" si="35"/>
        <v>228.07677743930029</v>
      </c>
      <c r="N239" s="17">
        <f t="shared" si="36"/>
        <v>20</v>
      </c>
      <c r="O239" s="17">
        <f t="shared" si="37"/>
        <v>-810</v>
      </c>
      <c r="P239" s="18">
        <f t="shared" ca="1" si="38"/>
        <v>-112.19232225606997</v>
      </c>
      <c r="Q239" s="18">
        <f t="shared" ca="1" si="39"/>
        <v>336.5769667682099</v>
      </c>
      <c r="R239" s="19">
        <f t="shared" ca="1" si="40"/>
        <v>-337.53857804855977</v>
      </c>
      <c r="S239" s="15">
        <f t="shared" ca="1" si="41"/>
        <v>1</v>
      </c>
    </row>
    <row r="240" spans="9:19">
      <c r="I240" s="15">
        <f t="shared" si="42"/>
        <v>236</v>
      </c>
      <c r="J240" s="16">
        <f t="shared" ca="1" si="43"/>
        <v>296.15517532828375</v>
      </c>
      <c r="K240" s="16">
        <f t="shared" ca="1" si="33"/>
        <v>270</v>
      </c>
      <c r="L240" s="16">
        <f t="shared" ca="1" si="34"/>
        <v>0</v>
      </c>
      <c r="M240" s="17">
        <f t="shared" ca="1" si="35"/>
        <v>1350</v>
      </c>
      <c r="N240" s="17">
        <f t="shared" si="36"/>
        <v>20</v>
      </c>
      <c r="O240" s="17">
        <f t="shared" si="37"/>
        <v>-810</v>
      </c>
      <c r="P240" s="18">
        <f t="shared" ca="1" si="38"/>
        <v>0</v>
      </c>
      <c r="Q240" s="18">
        <f t="shared" ca="1" si="39"/>
        <v>0</v>
      </c>
      <c r="R240" s="19">
        <f t="shared" ca="1" si="40"/>
        <v>560</v>
      </c>
      <c r="S240" s="15">
        <f t="shared" ca="1" si="41"/>
        <v>0</v>
      </c>
    </row>
    <row r="241" spans="9:19">
      <c r="I241" s="15">
        <f t="shared" si="42"/>
        <v>237</v>
      </c>
      <c r="J241" s="16">
        <f t="shared" ca="1" si="43"/>
        <v>366.17588390705225</v>
      </c>
      <c r="K241" s="16">
        <f t="shared" ca="1" si="33"/>
        <v>270</v>
      </c>
      <c r="L241" s="16">
        <f t="shared" ca="1" si="34"/>
        <v>0</v>
      </c>
      <c r="M241" s="17">
        <f t="shared" ca="1" si="35"/>
        <v>1350</v>
      </c>
      <c r="N241" s="17">
        <f t="shared" si="36"/>
        <v>20</v>
      </c>
      <c r="O241" s="17">
        <f t="shared" si="37"/>
        <v>-810</v>
      </c>
      <c r="P241" s="18">
        <f t="shared" ca="1" si="38"/>
        <v>0</v>
      </c>
      <c r="Q241" s="18">
        <f t="shared" ca="1" si="39"/>
        <v>0</v>
      </c>
      <c r="R241" s="19">
        <f t="shared" ca="1" si="40"/>
        <v>560</v>
      </c>
      <c r="S241" s="15">
        <f t="shared" ca="1" si="41"/>
        <v>0</v>
      </c>
    </row>
    <row r="242" spans="9:19">
      <c r="I242" s="15">
        <f t="shared" si="42"/>
        <v>238</v>
      </c>
      <c r="J242" s="16">
        <f t="shared" ca="1" si="43"/>
        <v>197.49889045684409</v>
      </c>
      <c r="K242" s="16">
        <f t="shared" ca="1" si="33"/>
        <v>72.501109543155906</v>
      </c>
      <c r="L242" s="16">
        <f t="shared" ca="1" si="34"/>
        <v>197.49889045684409</v>
      </c>
      <c r="M242" s="17">
        <f t="shared" ca="1" si="35"/>
        <v>362.50554771577953</v>
      </c>
      <c r="N242" s="17">
        <f t="shared" si="36"/>
        <v>20</v>
      </c>
      <c r="O242" s="17">
        <f t="shared" si="37"/>
        <v>-810</v>
      </c>
      <c r="P242" s="18">
        <f t="shared" ca="1" si="38"/>
        <v>-98.749445228422047</v>
      </c>
      <c r="Q242" s="18">
        <f t="shared" ca="1" si="39"/>
        <v>296.24833568526617</v>
      </c>
      <c r="R242" s="19">
        <f t="shared" ca="1" si="40"/>
        <v>-229.99556182737638</v>
      </c>
      <c r="S242" s="15">
        <f t="shared" ca="1" si="41"/>
        <v>1</v>
      </c>
    </row>
    <row r="243" spans="9:19">
      <c r="I243" s="15">
        <f t="shared" si="42"/>
        <v>239</v>
      </c>
      <c r="J243" s="16">
        <f t="shared" ca="1" si="43"/>
        <v>282.30524122952431</v>
      </c>
      <c r="K243" s="16">
        <f t="shared" ca="1" si="33"/>
        <v>270</v>
      </c>
      <c r="L243" s="16">
        <f t="shared" ca="1" si="34"/>
        <v>0</v>
      </c>
      <c r="M243" s="17">
        <f t="shared" ca="1" si="35"/>
        <v>1350</v>
      </c>
      <c r="N243" s="17">
        <f t="shared" si="36"/>
        <v>20</v>
      </c>
      <c r="O243" s="17">
        <f t="shared" si="37"/>
        <v>-810</v>
      </c>
      <c r="P243" s="18">
        <f t="shared" ca="1" si="38"/>
        <v>0</v>
      </c>
      <c r="Q243" s="18">
        <f t="shared" ca="1" si="39"/>
        <v>0</v>
      </c>
      <c r="R243" s="19">
        <f t="shared" ca="1" si="40"/>
        <v>560</v>
      </c>
      <c r="S243" s="15">
        <f t="shared" ca="1" si="41"/>
        <v>0</v>
      </c>
    </row>
    <row r="244" spans="9:19">
      <c r="I244" s="15">
        <f t="shared" si="42"/>
        <v>240</v>
      </c>
      <c r="J244" s="16">
        <f t="shared" ca="1" si="43"/>
        <v>302.8270211722263</v>
      </c>
      <c r="K244" s="16">
        <f t="shared" ca="1" si="33"/>
        <v>270</v>
      </c>
      <c r="L244" s="16">
        <f t="shared" ca="1" si="34"/>
        <v>0</v>
      </c>
      <c r="M244" s="17">
        <f t="shared" ca="1" si="35"/>
        <v>1350</v>
      </c>
      <c r="N244" s="17">
        <f t="shared" si="36"/>
        <v>20</v>
      </c>
      <c r="O244" s="17">
        <f t="shared" si="37"/>
        <v>-810</v>
      </c>
      <c r="P244" s="18">
        <f t="shared" ca="1" si="38"/>
        <v>0</v>
      </c>
      <c r="Q244" s="18">
        <f t="shared" ca="1" si="39"/>
        <v>0</v>
      </c>
      <c r="R244" s="19">
        <f t="shared" ca="1" si="40"/>
        <v>560</v>
      </c>
      <c r="S244" s="15">
        <f t="shared" ca="1" si="41"/>
        <v>0</v>
      </c>
    </row>
    <row r="245" spans="9:19">
      <c r="I245" s="15">
        <f t="shared" si="42"/>
        <v>241</v>
      </c>
      <c r="J245" s="16">
        <f t="shared" ca="1" si="43"/>
        <v>200.51149897730068</v>
      </c>
      <c r="K245" s="16">
        <f t="shared" ca="1" si="33"/>
        <v>69.488501022699324</v>
      </c>
      <c r="L245" s="16">
        <f t="shared" ca="1" si="34"/>
        <v>200.51149897730068</v>
      </c>
      <c r="M245" s="17">
        <f t="shared" ca="1" si="35"/>
        <v>347.44250511349662</v>
      </c>
      <c r="N245" s="17">
        <f t="shared" si="36"/>
        <v>20</v>
      </c>
      <c r="O245" s="17">
        <f t="shared" si="37"/>
        <v>-810</v>
      </c>
      <c r="P245" s="18">
        <f t="shared" ca="1" si="38"/>
        <v>-100.25574948865034</v>
      </c>
      <c r="Q245" s="18">
        <f t="shared" ca="1" si="39"/>
        <v>300.76724846595101</v>
      </c>
      <c r="R245" s="19">
        <f t="shared" ca="1" si="40"/>
        <v>-242.04599590920276</v>
      </c>
      <c r="S245" s="15">
        <f t="shared" ca="1" si="41"/>
        <v>1</v>
      </c>
    </row>
    <row r="246" spans="9:19">
      <c r="I246" s="15">
        <f t="shared" si="42"/>
        <v>242</v>
      </c>
      <c r="J246" s="16">
        <f t="shared" ca="1" si="43"/>
        <v>258.23539139156412</v>
      </c>
      <c r="K246" s="16">
        <f t="shared" ca="1" si="33"/>
        <v>11.764608608435879</v>
      </c>
      <c r="L246" s="16">
        <f t="shared" ca="1" si="34"/>
        <v>258.23539139156412</v>
      </c>
      <c r="M246" s="17">
        <f t="shared" ca="1" si="35"/>
        <v>58.823043042179393</v>
      </c>
      <c r="N246" s="17">
        <f t="shared" si="36"/>
        <v>20</v>
      </c>
      <c r="O246" s="17">
        <f t="shared" si="37"/>
        <v>-810</v>
      </c>
      <c r="P246" s="18">
        <f t="shared" ca="1" si="38"/>
        <v>-129.11769569578206</v>
      </c>
      <c r="Q246" s="18">
        <f t="shared" ca="1" si="39"/>
        <v>387.35308708734618</v>
      </c>
      <c r="R246" s="19">
        <f t="shared" ca="1" si="40"/>
        <v>-472.94156556625654</v>
      </c>
      <c r="S246" s="15">
        <f t="shared" ca="1" si="41"/>
        <v>1</v>
      </c>
    </row>
    <row r="247" spans="9:19">
      <c r="I247" s="15">
        <f t="shared" si="42"/>
        <v>243</v>
      </c>
      <c r="J247" s="16">
        <f t="shared" ca="1" si="43"/>
        <v>373.98960215097929</v>
      </c>
      <c r="K247" s="16">
        <f t="shared" ca="1" si="33"/>
        <v>270</v>
      </c>
      <c r="L247" s="16">
        <f t="shared" ca="1" si="34"/>
        <v>0</v>
      </c>
      <c r="M247" s="17">
        <f t="shared" ca="1" si="35"/>
        <v>1350</v>
      </c>
      <c r="N247" s="17">
        <f t="shared" si="36"/>
        <v>20</v>
      </c>
      <c r="O247" s="17">
        <f t="shared" si="37"/>
        <v>-810</v>
      </c>
      <c r="P247" s="18">
        <f t="shared" ca="1" si="38"/>
        <v>0</v>
      </c>
      <c r="Q247" s="18">
        <f t="shared" ca="1" si="39"/>
        <v>0</v>
      </c>
      <c r="R247" s="19">
        <f t="shared" ca="1" si="40"/>
        <v>560</v>
      </c>
      <c r="S247" s="15">
        <f t="shared" ca="1" si="41"/>
        <v>0</v>
      </c>
    </row>
    <row r="248" spans="9:19">
      <c r="I248" s="15">
        <f t="shared" si="42"/>
        <v>244</v>
      </c>
      <c r="J248" s="16">
        <f t="shared" ca="1" si="43"/>
        <v>278.08200347528879</v>
      </c>
      <c r="K248" s="16">
        <f t="shared" ca="1" si="33"/>
        <v>270</v>
      </c>
      <c r="L248" s="16">
        <f t="shared" ca="1" si="34"/>
        <v>0</v>
      </c>
      <c r="M248" s="17">
        <f t="shared" ca="1" si="35"/>
        <v>1350</v>
      </c>
      <c r="N248" s="17">
        <f t="shared" si="36"/>
        <v>20</v>
      </c>
      <c r="O248" s="17">
        <f t="shared" si="37"/>
        <v>-810</v>
      </c>
      <c r="P248" s="18">
        <f t="shared" ca="1" si="38"/>
        <v>0</v>
      </c>
      <c r="Q248" s="18">
        <f t="shared" ca="1" si="39"/>
        <v>0</v>
      </c>
      <c r="R248" s="19">
        <f t="shared" ca="1" si="40"/>
        <v>560</v>
      </c>
      <c r="S248" s="15">
        <f t="shared" ca="1" si="41"/>
        <v>0</v>
      </c>
    </row>
    <row r="249" spans="9:19">
      <c r="I249" s="15">
        <f t="shared" si="42"/>
        <v>245</v>
      </c>
      <c r="J249" s="16">
        <f t="shared" ca="1" si="43"/>
        <v>277.72576693050701</v>
      </c>
      <c r="K249" s="16">
        <f t="shared" ca="1" si="33"/>
        <v>270</v>
      </c>
      <c r="L249" s="16">
        <f t="shared" ca="1" si="34"/>
        <v>0</v>
      </c>
      <c r="M249" s="17">
        <f t="shared" ca="1" si="35"/>
        <v>1350</v>
      </c>
      <c r="N249" s="17">
        <f t="shared" si="36"/>
        <v>20</v>
      </c>
      <c r="O249" s="17">
        <f t="shared" si="37"/>
        <v>-810</v>
      </c>
      <c r="P249" s="18">
        <f t="shared" ca="1" si="38"/>
        <v>0</v>
      </c>
      <c r="Q249" s="18">
        <f t="shared" ca="1" si="39"/>
        <v>0</v>
      </c>
      <c r="R249" s="19">
        <f t="shared" ca="1" si="40"/>
        <v>560</v>
      </c>
      <c r="S249" s="15">
        <f t="shared" ca="1" si="41"/>
        <v>0</v>
      </c>
    </row>
    <row r="250" spans="9:19">
      <c r="I250" s="15">
        <f t="shared" si="42"/>
        <v>246</v>
      </c>
      <c r="J250" s="16">
        <f t="shared" ca="1" si="43"/>
        <v>249.79294348364931</v>
      </c>
      <c r="K250" s="16">
        <f t="shared" ca="1" si="33"/>
        <v>20.20705651635069</v>
      </c>
      <c r="L250" s="16">
        <f t="shared" ca="1" si="34"/>
        <v>249.79294348364931</v>
      </c>
      <c r="M250" s="17">
        <f t="shared" ca="1" si="35"/>
        <v>101.03528258175345</v>
      </c>
      <c r="N250" s="17">
        <f t="shared" si="36"/>
        <v>20</v>
      </c>
      <c r="O250" s="17">
        <f t="shared" si="37"/>
        <v>-810</v>
      </c>
      <c r="P250" s="18">
        <f t="shared" ca="1" si="38"/>
        <v>-124.89647174182466</v>
      </c>
      <c r="Q250" s="18">
        <f t="shared" ca="1" si="39"/>
        <v>374.68941522547397</v>
      </c>
      <c r="R250" s="19">
        <f t="shared" ca="1" si="40"/>
        <v>-439.1717739345973</v>
      </c>
      <c r="S250" s="15">
        <f t="shared" ca="1" si="41"/>
        <v>1</v>
      </c>
    </row>
    <row r="251" spans="9:19">
      <c r="I251" s="15">
        <f t="shared" si="42"/>
        <v>247</v>
      </c>
      <c r="J251" s="16">
        <f t="shared" ca="1" si="43"/>
        <v>296.14047130938934</v>
      </c>
      <c r="K251" s="16">
        <f t="shared" ca="1" si="33"/>
        <v>270</v>
      </c>
      <c r="L251" s="16">
        <f t="shared" ca="1" si="34"/>
        <v>0</v>
      </c>
      <c r="M251" s="17">
        <f t="shared" ca="1" si="35"/>
        <v>1350</v>
      </c>
      <c r="N251" s="17">
        <f t="shared" si="36"/>
        <v>20</v>
      </c>
      <c r="O251" s="17">
        <f t="shared" si="37"/>
        <v>-810</v>
      </c>
      <c r="P251" s="18">
        <f t="shared" ca="1" si="38"/>
        <v>0</v>
      </c>
      <c r="Q251" s="18">
        <f t="shared" ca="1" si="39"/>
        <v>0</v>
      </c>
      <c r="R251" s="19">
        <f t="shared" ca="1" si="40"/>
        <v>560</v>
      </c>
      <c r="S251" s="15">
        <f t="shared" ca="1" si="41"/>
        <v>0</v>
      </c>
    </row>
    <row r="252" spans="9:19">
      <c r="I252" s="15">
        <f t="shared" si="42"/>
        <v>248</v>
      </c>
      <c r="J252" s="16">
        <f t="shared" ca="1" si="43"/>
        <v>360.08593096919492</v>
      </c>
      <c r="K252" s="16">
        <f t="shared" ca="1" si="33"/>
        <v>270</v>
      </c>
      <c r="L252" s="16">
        <f t="shared" ca="1" si="34"/>
        <v>0</v>
      </c>
      <c r="M252" s="17">
        <f t="shared" ca="1" si="35"/>
        <v>1350</v>
      </c>
      <c r="N252" s="17">
        <f t="shared" si="36"/>
        <v>20</v>
      </c>
      <c r="O252" s="17">
        <f t="shared" si="37"/>
        <v>-810</v>
      </c>
      <c r="P252" s="18">
        <f t="shared" ca="1" si="38"/>
        <v>0</v>
      </c>
      <c r="Q252" s="18">
        <f t="shared" ca="1" si="39"/>
        <v>0</v>
      </c>
      <c r="R252" s="19">
        <f t="shared" ca="1" si="40"/>
        <v>560</v>
      </c>
      <c r="S252" s="15">
        <f t="shared" ca="1" si="41"/>
        <v>0</v>
      </c>
    </row>
    <row r="253" spans="9:19">
      <c r="I253" s="15">
        <f t="shared" si="42"/>
        <v>249</v>
      </c>
      <c r="J253" s="16">
        <f t="shared" ca="1" si="43"/>
        <v>212.17474548477583</v>
      </c>
      <c r="K253" s="16">
        <f t="shared" ca="1" si="33"/>
        <v>57.825254515224174</v>
      </c>
      <c r="L253" s="16">
        <f t="shared" ca="1" si="34"/>
        <v>212.17474548477583</v>
      </c>
      <c r="M253" s="17">
        <f t="shared" ca="1" si="35"/>
        <v>289.12627257612087</v>
      </c>
      <c r="N253" s="17">
        <f t="shared" si="36"/>
        <v>20</v>
      </c>
      <c r="O253" s="17">
        <f t="shared" si="37"/>
        <v>-810</v>
      </c>
      <c r="P253" s="18">
        <f t="shared" ca="1" si="38"/>
        <v>-106.08737274238791</v>
      </c>
      <c r="Q253" s="18">
        <f t="shared" ca="1" si="39"/>
        <v>318.26211822716374</v>
      </c>
      <c r="R253" s="19">
        <f t="shared" ca="1" si="40"/>
        <v>-288.69898193910325</v>
      </c>
      <c r="S253" s="15">
        <f t="shared" ca="1" si="41"/>
        <v>1</v>
      </c>
    </row>
    <row r="254" spans="9:19">
      <c r="I254" s="15">
        <f t="shared" si="42"/>
        <v>250</v>
      </c>
      <c r="J254" s="16">
        <f t="shared" ca="1" si="43"/>
        <v>387.73046185342639</v>
      </c>
      <c r="K254" s="16">
        <f t="shared" ca="1" si="33"/>
        <v>270</v>
      </c>
      <c r="L254" s="16">
        <f t="shared" ca="1" si="34"/>
        <v>0</v>
      </c>
      <c r="M254" s="17">
        <f t="shared" ca="1" si="35"/>
        <v>1350</v>
      </c>
      <c r="N254" s="17">
        <f t="shared" si="36"/>
        <v>20</v>
      </c>
      <c r="O254" s="17">
        <f t="shared" si="37"/>
        <v>-810</v>
      </c>
      <c r="P254" s="18">
        <f t="shared" ca="1" si="38"/>
        <v>0</v>
      </c>
      <c r="Q254" s="18">
        <f t="shared" ca="1" si="39"/>
        <v>0</v>
      </c>
      <c r="R254" s="19">
        <f t="shared" ca="1" si="40"/>
        <v>560</v>
      </c>
      <c r="S254" s="15">
        <f t="shared" ca="1" si="41"/>
        <v>0</v>
      </c>
    </row>
    <row r="255" spans="9:19">
      <c r="I255" s="15">
        <f t="shared" si="42"/>
        <v>251</v>
      </c>
      <c r="J255" s="16">
        <f t="shared" ca="1" si="43"/>
        <v>229.78422450547077</v>
      </c>
      <c r="K255" s="16">
        <f t="shared" ca="1" si="33"/>
        <v>40.215775494529225</v>
      </c>
      <c r="L255" s="16">
        <f t="shared" ca="1" si="34"/>
        <v>229.78422450547077</v>
      </c>
      <c r="M255" s="17">
        <f t="shared" ca="1" si="35"/>
        <v>201.07887747264613</v>
      </c>
      <c r="N255" s="17">
        <f t="shared" si="36"/>
        <v>20</v>
      </c>
      <c r="O255" s="17">
        <f t="shared" si="37"/>
        <v>-810</v>
      </c>
      <c r="P255" s="18">
        <f t="shared" ca="1" si="38"/>
        <v>-114.89211225273539</v>
      </c>
      <c r="Q255" s="18">
        <f t="shared" ca="1" si="39"/>
        <v>344.67633675820616</v>
      </c>
      <c r="R255" s="19">
        <f t="shared" ca="1" si="40"/>
        <v>-359.1368980218831</v>
      </c>
      <c r="S255" s="15">
        <f t="shared" ca="1" si="41"/>
        <v>1</v>
      </c>
    </row>
    <row r="256" spans="9:19">
      <c r="I256" s="15">
        <f t="shared" si="42"/>
        <v>252</v>
      </c>
      <c r="J256" s="16">
        <f t="shared" ca="1" si="43"/>
        <v>263.90526344348746</v>
      </c>
      <c r="K256" s="16">
        <f t="shared" ca="1" si="33"/>
        <v>6.0947365565125438</v>
      </c>
      <c r="L256" s="16">
        <f t="shared" ca="1" si="34"/>
        <v>263.90526344348746</v>
      </c>
      <c r="M256" s="17">
        <f t="shared" ca="1" si="35"/>
        <v>30.473682782562719</v>
      </c>
      <c r="N256" s="17">
        <f t="shared" si="36"/>
        <v>20</v>
      </c>
      <c r="O256" s="17">
        <f t="shared" si="37"/>
        <v>-810</v>
      </c>
      <c r="P256" s="18">
        <f t="shared" ca="1" si="38"/>
        <v>-131.95263172174373</v>
      </c>
      <c r="Q256" s="18">
        <f t="shared" ca="1" si="39"/>
        <v>395.85789516523118</v>
      </c>
      <c r="R256" s="19">
        <f t="shared" ca="1" si="40"/>
        <v>-495.62105377394982</v>
      </c>
      <c r="S256" s="15">
        <f t="shared" ca="1" si="41"/>
        <v>1</v>
      </c>
    </row>
    <row r="257" spans="9:19">
      <c r="I257" s="15">
        <f t="shared" si="42"/>
        <v>253</v>
      </c>
      <c r="J257" s="16">
        <f t="shared" ca="1" si="43"/>
        <v>127.63166639315469</v>
      </c>
      <c r="K257" s="16">
        <f t="shared" ca="1" si="33"/>
        <v>142.36833360684531</v>
      </c>
      <c r="L257" s="16">
        <f t="shared" ca="1" si="34"/>
        <v>127.63166639315469</v>
      </c>
      <c r="M257" s="17">
        <f t="shared" ca="1" si="35"/>
        <v>711.84166803422659</v>
      </c>
      <c r="N257" s="17">
        <f t="shared" si="36"/>
        <v>20</v>
      </c>
      <c r="O257" s="17">
        <f t="shared" si="37"/>
        <v>-810</v>
      </c>
      <c r="P257" s="18">
        <f t="shared" ca="1" si="38"/>
        <v>-63.815833196577344</v>
      </c>
      <c r="Q257" s="18">
        <f t="shared" ca="1" si="39"/>
        <v>191.44749958973205</v>
      </c>
      <c r="R257" s="19">
        <f t="shared" ca="1" si="40"/>
        <v>49.473334427381303</v>
      </c>
      <c r="S257" s="15">
        <f t="shared" ca="1" si="41"/>
        <v>0</v>
      </c>
    </row>
    <row r="258" spans="9:19">
      <c r="I258" s="15">
        <f t="shared" si="42"/>
        <v>254</v>
      </c>
      <c r="J258" s="16">
        <f t="shared" ca="1" si="43"/>
        <v>213.56581984071153</v>
      </c>
      <c r="K258" s="16">
        <f t="shared" ca="1" si="33"/>
        <v>56.434180159288474</v>
      </c>
      <c r="L258" s="16">
        <f t="shared" ca="1" si="34"/>
        <v>213.56581984071153</v>
      </c>
      <c r="M258" s="17">
        <f t="shared" ca="1" si="35"/>
        <v>282.17090079644237</v>
      </c>
      <c r="N258" s="17">
        <f t="shared" si="36"/>
        <v>20</v>
      </c>
      <c r="O258" s="17">
        <f t="shared" si="37"/>
        <v>-810</v>
      </c>
      <c r="P258" s="18">
        <f t="shared" ca="1" si="38"/>
        <v>-106.78290992035576</v>
      </c>
      <c r="Q258" s="18">
        <f t="shared" ca="1" si="39"/>
        <v>320.34872976106726</v>
      </c>
      <c r="R258" s="19">
        <f t="shared" ca="1" si="40"/>
        <v>-294.26327936284611</v>
      </c>
      <c r="S258" s="15">
        <f t="shared" ca="1" si="41"/>
        <v>1</v>
      </c>
    </row>
    <row r="259" spans="9:19">
      <c r="I259" s="15">
        <f t="shared" si="42"/>
        <v>255</v>
      </c>
      <c r="J259" s="16">
        <f t="shared" ca="1" si="43"/>
        <v>183.73898592618275</v>
      </c>
      <c r="K259" s="16">
        <f t="shared" ca="1" si="33"/>
        <v>86.26101407381725</v>
      </c>
      <c r="L259" s="16">
        <f t="shared" ca="1" si="34"/>
        <v>183.73898592618275</v>
      </c>
      <c r="M259" s="17">
        <f t="shared" ca="1" si="35"/>
        <v>431.30507036908625</v>
      </c>
      <c r="N259" s="17">
        <f t="shared" si="36"/>
        <v>20</v>
      </c>
      <c r="O259" s="17">
        <f t="shared" si="37"/>
        <v>-810</v>
      </c>
      <c r="P259" s="18">
        <f t="shared" ca="1" si="38"/>
        <v>-91.869492963091375</v>
      </c>
      <c r="Q259" s="18">
        <f t="shared" ca="1" si="39"/>
        <v>275.60847888927412</v>
      </c>
      <c r="R259" s="19">
        <f t="shared" ca="1" si="40"/>
        <v>-174.955943704731</v>
      </c>
      <c r="S259" s="15">
        <f t="shared" ca="1" si="41"/>
        <v>1</v>
      </c>
    </row>
    <row r="260" spans="9:19">
      <c r="I260" s="15">
        <f t="shared" si="42"/>
        <v>256</v>
      </c>
      <c r="J260" s="16">
        <f t="shared" ca="1" si="43"/>
        <v>188.18038292922523</v>
      </c>
      <c r="K260" s="16">
        <f t="shared" ca="1" si="33"/>
        <v>81.819617070774768</v>
      </c>
      <c r="L260" s="16">
        <f t="shared" ca="1" si="34"/>
        <v>188.18038292922523</v>
      </c>
      <c r="M260" s="17">
        <f t="shared" ca="1" si="35"/>
        <v>409.09808535387384</v>
      </c>
      <c r="N260" s="17">
        <f t="shared" si="36"/>
        <v>20</v>
      </c>
      <c r="O260" s="17">
        <f t="shared" si="37"/>
        <v>-810</v>
      </c>
      <c r="P260" s="18">
        <f t="shared" ca="1" si="38"/>
        <v>-94.090191464612616</v>
      </c>
      <c r="Q260" s="18">
        <f t="shared" ca="1" si="39"/>
        <v>282.27057439383782</v>
      </c>
      <c r="R260" s="19">
        <f t="shared" ca="1" si="40"/>
        <v>-192.72153171690093</v>
      </c>
      <c r="S260" s="15">
        <f t="shared" ca="1" si="41"/>
        <v>1</v>
      </c>
    </row>
    <row r="261" spans="9:19">
      <c r="I261" s="15">
        <f t="shared" si="42"/>
        <v>257</v>
      </c>
      <c r="J261" s="16">
        <f t="shared" ca="1" si="43"/>
        <v>139.05890385806117</v>
      </c>
      <c r="K261" s="16">
        <f t="shared" ca="1" si="33"/>
        <v>130.94109614193883</v>
      </c>
      <c r="L261" s="16">
        <f t="shared" ca="1" si="34"/>
        <v>139.05890385806117</v>
      </c>
      <c r="M261" s="17">
        <f t="shared" ca="1" si="35"/>
        <v>654.70548070969414</v>
      </c>
      <c r="N261" s="17">
        <f t="shared" si="36"/>
        <v>20</v>
      </c>
      <c r="O261" s="17">
        <f t="shared" si="37"/>
        <v>-810</v>
      </c>
      <c r="P261" s="18">
        <f t="shared" ca="1" si="38"/>
        <v>-69.529451929030586</v>
      </c>
      <c r="Q261" s="18">
        <f t="shared" ca="1" si="39"/>
        <v>208.58835578709176</v>
      </c>
      <c r="R261" s="19">
        <f t="shared" ca="1" si="40"/>
        <v>3.7643845677553145</v>
      </c>
      <c r="S261" s="15">
        <f t="shared" ca="1" si="41"/>
        <v>0</v>
      </c>
    </row>
    <row r="262" spans="9:19">
      <c r="I262" s="15">
        <f t="shared" si="42"/>
        <v>258</v>
      </c>
      <c r="J262" s="16">
        <f t="shared" ca="1" si="43"/>
        <v>303.00839534444464</v>
      </c>
      <c r="K262" s="16">
        <f t="shared" ref="K262:K325" ca="1" si="44">IF(J262&gt;=$D$18,$D$18,$D$18-J262)</f>
        <v>270</v>
      </c>
      <c r="L262" s="16">
        <f t="shared" ref="L262:L325" ca="1" si="45">$D$18-K262</f>
        <v>0</v>
      </c>
      <c r="M262" s="17">
        <f t="shared" ref="M262:M325" ca="1" si="46">K262*5</f>
        <v>1350</v>
      </c>
      <c r="N262" s="17">
        <f t="shared" ref="N262:N325" si="47">$D$10</f>
        <v>20</v>
      </c>
      <c r="O262" s="17">
        <f t="shared" ref="O262:O325" si="48">-$D$6*$D$18</f>
        <v>-810</v>
      </c>
      <c r="P262" s="18">
        <f t="shared" ref="P262:P325" ca="1" si="49">-L262*$D$9</f>
        <v>0</v>
      </c>
      <c r="Q262" s="18">
        <f t="shared" ref="Q262:Q325" ca="1" si="50">L262*($D$6*$D$8)</f>
        <v>0</v>
      </c>
      <c r="R262" s="19">
        <f t="shared" ref="R262:R325" ca="1" si="51">SUM(M262:Q262)</f>
        <v>560</v>
      </c>
      <c r="S262" s="15">
        <f t="shared" ref="S262:S325" ca="1" si="52">IF(R262&lt;0,1,0)</f>
        <v>0</v>
      </c>
    </row>
    <row r="263" spans="9:19">
      <c r="I263" s="15">
        <f t="shared" ref="I263:I326" si="53">I262+1</f>
        <v>259</v>
      </c>
      <c r="J263" s="16">
        <f t="shared" ref="J263:J326" ca="1" si="54">RAND()*($E$3-$D$3)+$D$3</f>
        <v>263.3574498867298</v>
      </c>
      <c r="K263" s="16">
        <f t="shared" ca="1" si="44"/>
        <v>6.6425501132702038</v>
      </c>
      <c r="L263" s="16">
        <f t="shared" ca="1" si="45"/>
        <v>263.3574498867298</v>
      </c>
      <c r="M263" s="17">
        <f t="shared" ca="1" si="46"/>
        <v>33.212750566351019</v>
      </c>
      <c r="N263" s="17">
        <f t="shared" si="47"/>
        <v>20</v>
      </c>
      <c r="O263" s="17">
        <f t="shared" si="48"/>
        <v>-810</v>
      </c>
      <c r="P263" s="18">
        <f t="shared" ca="1" si="49"/>
        <v>-131.6787249433649</v>
      </c>
      <c r="Q263" s="18">
        <f t="shared" ca="1" si="50"/>
        <v>395.03617483009469</v>
      </c>
      <c r="R263" s="19">
        <f t="shared" ca="1" si="51"/>
        <v>-493.42979954691924</v>
      </c>
      <c r="S263" s="15">
        <f t="shared" ca="1" si="52"/>
        <v>1</v>
      </c>
    </row>
    <row r="264" spans="9:19">
      <c r="I264" s="15">
        <f t="shared" si="53"/>
        <v>260</v>
      </c>
      <c r="J264" s="16">
        <f t="shared" ca="1" si="54"/>
        <v>150.66912330934534</v>
      </c>
      <c r="K264" s="16">
        <f t="shared" ca="1" si="44"/>
        <v>119.33087669065466</v>
      </c>
      <c r="L264" s="16">
        <f t="shared" ca="1" si="45"/>
        <v>150.66912330934534</v>
      </c>
      <c r="M264" s="17">
        <f t="shared" ca="1" si="46"/>
        <v>596.65438345327334</v>
      </c>
      <c r="N264" s="17">
        <f t="shared" si="47"/>
        <v>20</v>
      </c>
      <c r="O264" s="17">
        <f t="shared" si="48"/>
        <v>-810</v>
      </c>
      <c r="P264" s="18">
        <f t="shared" ca="1" si="49"/>
        <v>-75.334561654672669</v>
      </c>
      <c r="Q264" s="18">
        <f t="shared" ca="1" si="50"/>
        <v>226.00368496401802</v>
      </c>
      <c r="R264" s="19">
        <f t="shared" ca="1" si="51"/>
        <v>-42.676493237381294</v>
      </c>
      <c r="S264" s="15">
        <f t="shared" ca="1" si="52"/>
        <v>1</v>
      </c>
    </row>
    <row r="265" spans="9:19">
      <c r="I265" s="15">
        <f t="shared" si="53"/>
        <v>261</v>
      </c>
      <c r="J265" s="16">
        <f t="shared" ca="1" si="54"/>
        <v>272.12310708688671</v>
      </c>
      <c r="K265" s="16">
        <f t="shared" ca="1" si="44"/>
        <v>270</v>
      </c>
      <c r="L265" s="16">
        <f t="shared" ca="1" si="45"/>
        <v>0</v>
      </c>
      <c r="M265" s="17">
        <f t="shared" ca="1" si="46"/>
        <v>1350</v>
      </c>
      <c r="N265" s="17">
        <f t="shared" si="47"/>
        <v>20</v>
      </c>
      <c r="O265" s="17">
        <f t="shared" si="48"/>
        <v>-810</v>
      </c>
      <c r="P265" s="18">
        <f t="shared" ca="1" si="49"/>
        <v>0</v>
      </c>
      <c r="Q265" s="18">
        <f t="shared" ca="1" si="50"/>
        <v>0</v>
      </c>
      <c r="R265" s="19">
        <f t="shared" ca="1" si="51"/>
        <v>560</v>
      </c>
      <c r="S265" s="15">
        <f t="shared" ca="1" si="52"/>
        <v>0</v>
      </c>
    </row>
    <row r="266" spans="9:19">
      <c r="I266" s="15">
        <f t="shared" si="53"/>
        <v>262</v>
      </c>
      <c r="J266" s="16">
        <f t="shared" ca="1" si="54"/>
        <v>242.4473997659758</v>
      </c>
      <c r="K266" s="16">
        <f t="shared" ca="1" si="44"/>
        <v>27.552600234024197</v>
      </c>
      <c r="L266" s="16">
        <f t="shared" ca="1" si="45"/>
        <v>242.4473997659758</v>
      </c>
      <c r="M266" s="17">
        <f t="shared" ca="1" si="46"/>
        <v>137.76300117012099</v>
      </c>
      <c r="N266" s="17">
        <f t="shared" si="47"/>
        <v>20</v>
      </c>
      <c r="O266" s="17">
        <f t="shared" si="48"/>
        <v>-810</v>
      </c>
      <c r="P266" s="18">
        <f t="shared" ca="1" si="49"/>
        <v>-121.2236998829879</v>
      </c>
      <c r="Q266" s="18">
        <f t="shared" ca="1" si="50"/>
        <v>363.67109964896372</v>
      </c>
      <c r="R266" s="19">
        <f t="shared" ca="1" si="51"/>
        <v>-409.78959906390321</v>
      </c>
      <c r="S266" s="15">
        <f t="shared" ca="1" si="52"/>
        <v>1</v>
      </c>
    </row>
    <row r="267" spans="9:19">
      <c r="I267" s="15">
        <f t="shared" si="53"/>
        <v>263</v>
      </c>
      <c r="J267" s="16">
        <f t="shared" ca="1" si="54"/>
        <v>269.34955254386352</v>
      </c>
      <c r="K267" s="16">
        <f t="shared" ca="1" si="44"/>
        <v>0.65044745613647592</v>
      </c>
      <c r="L267" s="16">
        <f t="shared" ca="1" si="45"/>
        <v>269.34955254386352</v>
      </c>
      <c r="M267" s="17">
        <f t="shared" ca="1" si="46"/>
        <v>3.2522372806823796</v>
      </c>
      <c r="N267" s="17">
        <f t="shared" si="47"/>
        <v>20</v>
      </c>
      <c r="O267" s="17">
        <f t="shared" si="48"/>
        <v>-810</v>
      </c>
      <c r="P267" s="18">
        <f t="shared" ca="1" si="49"/>
        <v>-134.67477627193176</v>
      </c>
      <c r="Q267" s="18">
        <f t="shared" ca="1" si="50"/>
        <v>404.02432881579529</v>
      </c>
      <c r="R267" s="19">
        <f t="shared" ca="1" si="51"/>
        <v>-517.3982101754541</v>
      </c>
      <c r="S267" s="15">
        <f t="shared" ca="1" si="52"/>
        <v>1</v>
      </c>
    </row>
    <row r="268" spans="9:19">
      <c r="I268" s="15">
        <f t="shared" si="53"/>
        <v>264</v>
      </c>
      <c r="J268" s="16">
        <f t="shared" ca="1" si="54"/>
        <v>182.39354583783671</v>
      </c>
      <c r="K268" s="16">
        <f t="shared" ca="1" si="44"/>
        <v>87.606454162163288</v>
      </c>
      <c r="L268" s="16">
        <f t="shared" ca="1" si="45"/>
        <v>182.39354583783671</v>
      </c>
      <c r="M268" s="17">
        <f t="shared" ca="1" si="46"/>
        <v>438.03227081081644</v>
      </c>
      <c r="N268" s="17">
        <f t="shared" si="47"/>
        <v>20</v>
      </c>
      <c r="O268" s="17">
        <f t="shared" si="48"/>
        <v>-810</v>
      </c>
      <c r="P268" s="18">
        <f t="shared" ca="1" si="49"/>
        <v>-91.196772918918356</v>
      </c>
      <c r="Q268" s="18">
        <f t="shared" ca="1" si="50"/>
        <v>273.5903187567551</v>
      </c>
      <c r="R268" s="19">
        <f t="shared" ca="1" si="51"/>
        <v>-169.57418335134685</v>
      </c>
      <c r="S268" s="15">
        <f t="shared" ca="1" si="52"/>
        <v>1</v>
      </c>
    </row>
    <row r="269" spans="9:19">
      <c r="I269" s="15">
        <f t="shared" si="53"/>
        <v>265</v>
      </c>
      <c r="J269" s="16">
        <f t="shared" ca="1" si="54"/>
        <v>135.55507815983407</v>
      </c>
      <c r="K269" s="16">
        <f t="shared" ca="1" si="44"/>
        <v>134.44492184016593</v>
      </c>
      <c r="L269" s="16">
        <f t="shared" ca="1" si="45"/>
        <v>135.55507815983407</v>
      </c>
      <c r="M269" s="17">
        <f t="shared" ca="1" si="46"/>
        <v>672.22460920082972</v>
      </c>
      <c r="N269" s="17">
        <f t="shared" si="47"/>
        <v>20</v>
      </c>
      <c r="O269" s="17">
        <f t="shared" si="48"/>
        <v>-810</v>
      </c>
      <c r="P269" s="18">
        <f t="shared" ca="1" si="49"/>
        <v>-67.777539079917034</v>
      </c>
      <c r="Q269" s="18">
        <f t="shared" ca="1" si="50"/>
        <v>203.3326172397511</v>
      </c>
      <c r="R269" s="19">
        <f t="shared" ca="1" si="51"/>
        <v>17.779687360663786</v>
      </c>
      <c r="S269" s="15">
        <f t="shared" ca="1" si="52"/>
        <v>0</v>
      </c>
    </row>
    <row r="270" spans="9:19">
      <c r="I270" s="15">
        <f t="shared" si="53"/>
        <v>266</v>
      </c>
      <c r="J270" s="16">
        <f t="shared" ca="1" si="54"/>
        <v>178.7608618610324</v>
      </c>
      <c r="K270" s="16">
        <f t="shared" ca="1" si="44"/>
        <v>91.239138138967604</v>
      </c>
      <c r="L270" s="16">
        <f t="shared" ca="1" si="45"/>
        <v>178.7608618610324</v>
      </c>
      <c r="M270" s="17">
        <f t="shared" ca="1" si="46"/>
        <v>456.19569069483805</v>
      </c>
      <c r="N270" s="17">
        <f t="shared" si="47"/>
        <v>20</v>
      </c>
      <c r="O270" s="17">
        <f t="shared" si="48"/>
        <v>-810</v>
      </c>
      <c r="P270" s="18">
        <f t="shared" ca="1" si="49"/>
        <v>-89.380430930516198</v>
      </c>
      <c r="Q270" s="18">
        <f t="shared" ca="1" si="50"/>
        <v>268.14129279154861</v>
      </c>
      <c r="R270" s="19">
        <f t="shared" ca="1" si="51"/>
        <v>-155.04344744412953</v>
      </c>
      <c r="S270" s="15">
        <f t="shared" ca="1" si="52"/>
        <v>1</v>
      </c>
    </row>
    <row r="271" spans="9:19">
      <c r="I271" s="15">
        <f t="shared" si="53"/>
        <v>267</v>
      </c>
      <c r="J271" s="16">
        <f t="shared" ca="1" si="54"/>
        <v>363.30184678837031</v>
      </c>
      <c r="K271" s="16">
        <f t="shared" ca="1" si="44"/>
        <v>270</v>
      </c>
      <c r="L271" s="16">
        <f t="shared" ca="1" si="45"/>
        <v>0</v>
      </c>
      <c r="M271" s="17">
        <f t="shared" ca="1" si="46"/>
        <v>1350</v>
      </c>
      <c r="N271" s="17">
        <f t="shared" si="47"/>
        <v>20</v>
      </c>
      <c r="O271" s="17">
        <f t="shared" si="48"/>
        <v>-810</v>
      </c>
      <c r="P271" s="18">
        <f t="shared" ca="1" si="49"/>
        <v>0</v>
      </c>
      <c r="Q271" s="18">
        <f t="shared" ca="1" si="50"/>
        <v>0</v>
      </c>
      <c r="R271" s="19">
        <f t="shared" ca="1" si="51"/>
        <v>560</v>
      </c>
      <c r="S271" s="15">
        <f t="shared" ca="1" si="52"/>
        <v>0</v>
      </c>
    </row>
    <row r="272" spans="9:19">
      <c r="I272" s="15">
        <f t="shared" si="53"/>
        <v>268</v>
      </c>
      <c r="J272" s="16">
        <f t="shared" ca="1" si="54"/>
        <v>281.46566357462711</v>
      </c>
      <c r="K272" s="16">
        <f t="shared" ca="1" si="44"/>
        <v>270</v>
      </c>
      <c r="L272" s="16">
        <f t="shared" ca="1" si="45"/>
        <v>0</v>
      </c>
      <c r="M272" s="17">
        <f t="shared" ca="1" si="46"/>
        <v>1350</v>
      </c>
      <c r="N272" s="17">
        <f t="shared" si="47"/>
        <v>20</v>
      </c>
      <c r="O272" s="17">
        <f t="shared" si="48"/>
        <v>-810</v>
      </c>
      <c r="P272" s="18">
        <f t="shared" ca="1" si="49"/>
        <v>0</v>
      </c>
      <c r="Q272" s="18">
        <f t="shared" ca="1" si="50"/>
        <v>0</v>
      </c>
      <c r="R272" s="19">
        <f t="shared" ca="1" si="51"/>
        <v>560</v>
      </c>
      <c r="S272" s="15">
        <f t="shared" ca="1" si="52"/>
        <v>0</v>
      </c>
    </row>
    <row r="273" spans="9:19">
      <c r="I273" s="15">
        <f t="shared" si="53"/>
        <v>269</v>
      </c>
      <c r="J273" s="16">
        <f t="shared" ca="1" si="54"/>
        <v>139.61396600843148</v>
      </c>
      <c r="K273" s="16">
        <f t="shared" ca="1" si="44"/>
        <v>130.38603399156852</v>
      </c>
      <c r="L273" s="16">
        <f t="shared" ca="1" si="45"/>
        <v>139.61396600843148</v>
      </c>
      <c r="M273" s="17">
        <f t="shared" ca="1" si="46"/>
        <v>651.93016995784262</v>
      </c>
      <c r="N273" s="17">
        <f t="shared" si="47"/>
        <v>20</v>
      </c>
      <c r="O273" s="17">
        <f t="shared" si="48"/>
        <v>-810</v>
      </c>
      <c r="P273" s="18">
        <f t="shared" ca="1" si="49"/>
        <v>-69.806983004215738</v>
      </c>
      <c r="Q273" s="18">
        <f t="shared" ca="1" si="50"/>
        <v>209.42094901264721</v>
      </c>
      <c r="R273" s="19">
        <f t="shared" ca="1" si="51"/>
        <v>1.5441359662740979</v>
      </c>
      <c r="S273" s="15">
        <f t="shared" ca="1" si="52"/>
        <v>0</v>
      </c>
    </row>
    <row r="274" spans="9:19">
      <c r="I274" s="15">
        <f t="shared" si="53"/>
        <v>270</v>
      </c>
      <c r="J274" s="16">
        <f t="shared" ca="1" si="54"/>
        <v>374.02164246753023</v>
      </c>
      <c r="K274" s="16">
        <f t="shared" ca="1" si="44"/>
        <v>270</v>
      </c>
      <c r="L274" s="16">
        <f t="shared" ca="1" si="45"/>
        <v>0</v>
      </c>
      <c r="M274" s="17">
        <f t="shared" ca="1" si="46"/>
        <v>1350</v>
      </c>
      <c r="N274" s="17">
        <f t="shared" si="47"/>
        <v>20</v>
      </c>
      <c r="O274" s="17">
        <f t="shared" si="48"/>
        <v>-810</v>
      </c>
      <c r="P274" s="18">
        <f t="shared" ca="1" si="49"/>
        <v>0</v>
      </c>
      <c r="Q274" s="18">
        <f t="shared" ca="1" si="50"/>
        <v>0</v>
      </c>
      <c r="R274" s="19">
        <f t="shared" ca="1" si="51"/>
        <v>560</v>
      </c>
      <c r="S274" s="15">
        <f t="shared" ca="1" si="52"/>
        <v>0</v>
      </c>
    </row>
    <row r="275" spans="9:19">
      <c r="I275" s="15">
        <f t="shared" si="53"/>
        <v>271</v>
      </c>
      <c r="J275" s="16">
        <f t="shared" ca="1" si="54"/>
        <v>414.71027578116315</v>
      </c>
      <c r="K275" s="16">
        <f t="shared" ca="1" si="44"/>
        <v>270</v>
      </c>
      <c r="L275" s="16">
        <f t="shared" ca="1" si="45"/>
        <v>0</v>
      </c>
      <c r="M275" s="17">
        <f t="shared" ca="1" si="46"/>
        <v>1350</v>
      </c>
      <c r="N275" s="17">
        <f t="shared" si="47"/>
        <v>20</v>
      </c>
      <c r="O275" s="17">
        <f t="shared" si="48"/>
        <v>-810</v>
      </c>
      <c r="P275" s="18">
        <f t="shared" ca="1" si="49"/>
        <v>0</v>
      </c>
      <c r="Q275" s="18">
        <f t="shared" ca="1" si="50"/>
        <v>0</v>
      </c>
      <c r="R275" s="19">
        <f t="shared" ca="1" si="51"/>
        <v>560</v>
      </c>
      <c r="S275" s="15">
        <f t="shared" ca="1" si="52"/>
        <v>0</v>
      </c>
    </row>
    <row r="276" spans="9:19">
      <c r="I276" s="15">
        <f t="shared" si="53"/>
        <v>272</v>
      </c>
      <c r="J276" s="16">
        <f t="shared" ca="1" si="54"/>
        <v>178.09725828704882</v>
      </c>
      <c r="K276" s="16">
        <f t="shared" ca="1" si="44"/>
        <v>91.902741712951183</v>
      </c>
      <c r="L276" s="16">
        <f t="shared" ca="1" si="45"/>
        <v>178.09725828704882</v>
      </c>
      <c r="M276" s="17">
        <f t="shared" ca="1" si="46"/>
        <v>459.51370856475592</v>
      </c>
      <c r="N276" s="17">
        <f t="shared" si="47"/>
        <v>20</v>
      </c>
      <c r="O276" s="17">
        <f t="shared" si="48"/>
        <v>-810</v>
      </c>
      <c r="P276" s="18">
        <f t="shared" ca="1" si="49"/>
        <v>-89.048629143524408</v>
      </c>
      <c r="Q276" s="18">
        <f t="shared" ca="1" si="50"/>
        <v>267.14588743057323</v>
      </c>
      <c r="R276" s="19">
        <f t="shared" ca="1" si="51"/>
        <v>-152.38903314819527</v>
      </c>
      <c r="S276" s="15">
        <f t="shared" ca="1" si="52"/>
        <v>1</v>
      </c>
    </row>
    <row r="277" spans="9:19">
      <c r="I277" s="15">
        <f t="shared" si="53"/>
        <v>273</v>
      </c>
      <c r="J277" s="16">
        <f t="shared" ca="1" si="54"/>
        <v>201.04884766094546</v>
      </c>
      <c r="K277" s="16">
        <f t="shared" ca="1" si="44"/>
        <v>68.951152339054545</v>
      </c>
      <c r="L277" s="16">
        <f t="shared" ca="1" si="45"/>
        <v>201.04884766094546</v>
      </c>
      <c r="M277" s="17">
        <f t="shared" ca="1" si="46"/>
        <v>344.75576169527272</v>
      </c>
      <c r="N277" s="17">
        <f t="shared" si="47"/>
        <v>20</v>
      </c>
      <c r="O277" s="17">
        <f t="shared" si="48"/>
        <v>-810</v>
      </c>
      <c r="P277" s="18">
        <f t="shared" ca="1" si="49"/>
        <v>-100.52442383047273</v>
      </c>
      <c r="Q277" s="18">
        <f t="shared" ca="1" si="50"/>
        <v>301.57327149141815</v>
      </c>
      <c r="R277" s="19">
        <f t="shared" ca="1" si="51"/>
        <v>-244.19539064378182</v>
      </c>
      <c r="S277" s="15">
        <f t="shared" ca="1" si="52"/>
        <v>1</v>
      </c>
    </row>
    <row r="278" spans="9:19">
      <c r="I278" s="15">
        <f t="shared" si="53"/>
        <v>274</v>
      </c>
      <c r="J278" s="16">
        <f t="shared" ca="1" si="54"/>
        <v>120.34333043081692</v>
      </c>
      <c r="K278" s="16">
        <f t="shared" ca="1" si="44"/>
        <v>149.65666956918307</v>
      </c>
      <c r="L278" s="16">
        <f t="shared" ca="1" si="45"/>
        <v>120.34333043081693</v>
      </c>
      <c r="M278" s="17">
        <f t="shared" ca="1" si="46"/>
        <v>748.28334784591539</v>
      </c>
      <c r="N278" s="17">
        <f t="shared" si="47"/>
        <v>20</v>
      </c>
      <c r="O278" s="17">
        <f t="shared" si="48"/>
        <v>-810</v>
      </c>
      <c r="P278" s="18">
        <f t="shared" ca="1" si="49"/>
        <v>-60.171665215408467</v>
      </c>
      <c r="Q278" s="18">
        <f t="shared" ca="1" si="50"/>
        <v>180.5149956462254</v>
      </c>
      <c r="R278" s="19">
        <f t="shared" ca="1" si="51"/>
        <v>78.626678276732321</v>
      </c>
      <c r="S278" s="15">
        <f t="shared" ca="1" si="52"/>
        <v>0</v>
      </c>
    </row>
    <row r="279" spans="9:19">
      <c r="I279" s="15">
        <f t="shared" si="53"/>
        <v>275</v>
      </c>
      <c r="J279" s="16">
        <f t="shared" ca="1" si="54"/>
        <v>267.28448844773345</v>
      </c>
      <c r="K279" s="16">
        <f t="shared" ca="1" si="44"/>
        <v>2.7155115522665483</v>
      </c>
      <c r="L279" s="16">
        <f t="shared" ca="1" si="45"/>
        <v>267.28448844773345</v>
      </c>
      <c r="M279" s="17">
        <f t="shared" ca="1" si="46"/>
        <v>13.577557761332741</v>
      </c>
      <c r="N279" s="17">
        <f t="shared" si="47"/>
        <v>20</v>
      </c>
      <c r="O279" s="17">
        <f t="shared" si="48"/>
        <v>-810</v>
      </c>
      <c r="P279" s="18">
        <f t="shared" ca="1" si="49"/>
        <v>-133.64224422386673</v>
      </c>
      <c r="Q279" s="18">
        <f t="shared" ca="1" si="50"/>
        <v>400.92673267160018</v>
      </c>
      <c r="R279" s="19">
        <f t="shared" ca="1" si="51"/>
        <v>-509.13795379093375</v>
      </c>
      <c r="S279" s="15">
        <f t="shared" ca="1" si="52"/>
        <v>1</v>
      </c>
    </row>
    <row r="280" spans="9:19">
      <c r="I280" s="15">
        <f t="shared" si="53"/>
        <v>276</v>
      </c>
      <c r="J280" s="16">
        <f t="shared" ca="1" si="54"/>
        <v>392.12468025608717</v>
      </c>
      <c r="K280" s="16">
        <f t="shared" ca="1" si="44"/>
        <v>270</v>
      </c>
      <c r="L280" s="16">
        <f t="shared" ca="1" si="45"/>
        <v>0</v>
      </c>
      <c r="M280" s="17">
        <f t="shared" ca="1" si="46"/>
        <v>1350</v>
      </c>
      <c r="N280" s="17">
        <f t="shared" si="47"/>
        <v>20</v>
      </c>
      <c r="O280" s="17">
        <f t="shared" si="48"/>
        <v>-810</v>
      </c>
      <c r="P280" s="18">
        <f t="shared" ca="1" si="49"/>
        <v>0</v>
      </c>
      <c r="Q280" s="18">
        <f t="shared" ca="1" si="50"/>
        <v>0</v>
      </c>
      <c r="R280" s="19">
        <f t="shared" ca="1" si="51"/>
        <v>560</v>
      </c>
      <c r="S280" s="15">
        <f t="shared" ca="1" si="52"/>
        <v>0</v>
      </c>
    </row>
    <row r="281" spans="9:19">
      <c r="I281" s="15">
        <f t="shared" si="53"/>
        <v>277</v>
      </c>
      <c r="J281" s="16">
        <f t="shared" ca="1" si="54"/>
        <v>163.72422261022828</v>
      </c>
      <c r="K281" s="16">
        <f t="shared" ca="1" si="44"/>
        <v>106.27577738977172</v>
      </c>
      <c r="L281" s="16">
        <f t="shared" ca="1" si="45"/>
        <v>163.72422261022828</v>
      </c>
      <c r="M281" s="17">
        <f t="shared" ca="1" si="46"/>
        <v>531.37888694885862</v>
      </c>
      <c r="N281" s="17">
        <f t="shared" si="47"/>
        <v>20</v>
      </c>
      <c r="O281" s="17">
        <f t="shared" si="48"/>
        <v>-810</v>
      </c>
      <c r="P281" s="18">
        <f t="shared" ca="1" si="49"/>
        <v>-81.862111305114141</v>
      </c>
      <c r="Q281" s="18">
        <f t="shared" ca="1" si="50"/>
        <v>245.58633391534244</v>
      </c>
      <c r="R281" s="19">
        <f t="shared" ca="1" si="51"/>
        <v>-94.896890440913069</v>
      </c>
      <c r="S281" s="15">
        <f t="shared" ca="1" si="52"/>
        <v>1</v>
      </c>
    </row>
    <row r="282" spans="9:19">
      <c r="I282" s="15">
        <f t="shared" si="53"/>
        <v>278</v>
      </c>
      <c r="J282" s="16">
        <f t="shared" ca="1" si="54"/>
        <v>355.98357791406488</v>
      </c>
      <c r="K282" s="16">
        <f t="shared" ca="1" si="44"/>
        <v>270</v>
      </c>
      <c r="L282" s="16">
        <f t="shared" ca="1" si="45"/>
        <v>0</v>
      </c>
      <c r="M282" s="17">
        <f t="shared" ca="1" si="46"/>
        <v>1350</v>
      </c>
      <c r="N282" s="17">
        <f t="shared" si="47"/>
        <v>20</v>
      </c>
      <c r="O282" s="17">
        <f t="shared" si="48"/>
        <v>-810</v>
      </c>
      <c r="P282" s="18">
        <f t="shared" ca="1" si="49"/>
        <v>0</v>
      </c>
      <c r="Q282" s="18">
        <f t="shared" ca="1" si="50"/>
        <v>0</v>
      </c>
      <c r="R282" s="19">
        <f t="shared" ca="1" si="51"/>
        <v>560</v>
      </c>
      <c r="S282" s="15">
        <f t="shared" ca="1" si="52"/>
        <v>0</v>
      </c>
    </row>
    <row r="283" spans="9:19">
      <c r="I283" s="15">
        <f t="shared" si="53"/>
        <v>279</v>
      </c>
      <c r="J283" s="16">
        <f t="shared" ca="1" si="54"/>
        <v>363.9146598648187</v>
      </c>
      <c r="K283" s="16">
        <f t="shared" ca="1" si="44"/>
        <v>270</v>
      </c>
      <c r="L283" s="16">
        <f t="shared" ca="1" si="45"/>
        <v>0</v>
      </c>
      <c r="M283" s="17">
        <f t="shared" ca="1" si="46"/>
        <v>1350</v>
      </c>
      <c r="N283" s="17">
        <f t="shared" si="47"/>
        <v>20</v>
      </c>
      <c r="O283" s="17">
        <f t="shared" si="48"/>
        <v>-810</v>
      </c>
      <c r="P283" s="18">
        <f t="shared" ca="1" si="49"/>
        <v>0</v>
      </c>
      <c r="Q283" s="18">
        <f t="shared" ca="1" si="50"/>
        <v>0</v>
      </c>
      <c r="R283" s="19">
        <f t="shared" ca="1" si="51"/>
        <v>560</v>
      </c>
      <c r="S283" s="15">
        <f t="shared" ca="1" si="52"/>
        <v>0</v>
      </c>
    </row>
    <row r="284" spans="9:19">
      <c r="I284" s="15">
        <f t="shared" si="53"/>
        <v>280</v>
      </c>
      <c r="J284" s="16">
        <f t="shared" ca="1" si="54"/>
        <v>159.86736462077806</v>
      </c>
      <c r="K284" s="16">
        <f t="shared" ca="1" si="44"/>
        <v>110.13263537922194</v>
      </c>
      <c r="L284" s="16">
        <f t="shared" ca="1" si="45"/>
        <v>159.86736462077806</v>
      </c>
      <c r="M284" s="17">
        <f t="shared" ca="1" si="46"/>
        <v>550.66317689610969</v>
      </c>
      <c r="N284" s="17">
        <f t="shared" si="47"/>
        <v>20</v>
      </c>
      <c r="O284" s="17">
        <f t="shared" si="48"/>
        <v>-810</v>
      </c>
      <c r="P284" s="18">
        <f t="shared" ca="1" si="49"/>
        <v>-79.933682310389031</v>
      </c>
      <c r="Q284" s="18">
        <f t="shared" ca="1" si="50"/>
        <v>239.80104693116709</v>
      </c>
      <c r="R284" s="19">
        <f t="shared" ca="1" si="51"/>
        <v>-79.469458483112248</v>
      </c>
      <c r="S284" s="15">
        <f t="shared" ca="1" si="52"/>
        <v>1</v>
      </c>
    </row>
    <row r="285" spans="9:19">
      <c r="I285" s="15">
        <f t="shared" si="53"/>
        <v>281</v>
      </c>
      <c r="J285" s="16">
        <f t="shared" ca="1" si="54"/>
        <v>347.34885399786373</v>
      </c>
      <c r="K285" s="16">
        <f t="shared" ca="1" si="44"/>
        <v>270</v>
      </c>
      <c r="L285" s="16">
        <f t="shared" ca="1" si="45"/>
        <v>0</v>
      </c>
      <c r="M285" s="17">
        <f t="shared" ca="1" si="46"/>
        <v>1350</v>
      </c>
      <c r="N285" s="17">
        <f t="shared" si="47"/>
        <v>20</v>
      </c>
      <c r="O285" s="17">
        <f t="shared" si="48"/>
        <v>-810</v>
      </c>
      <c r="P285" s="18">
        <f t="shared" ca="1" si="49"/>
        <v>0</v>
      </c>
      <c r="Q285" s="18">
        <f t="shared" ca="1" si="50"/>
        <v>0</v>
      </c>
      <c r="R285" s="19">
        <f t="shared" ca="1" si="51"/>
        <v>560</v>
      </c>
      <c r="S285" s="15">
        <f t="shared" ca="1" si="52"/>
        <v>0</v>
      </c>
    </row>
    <row r="286" spans="9:19">
      <c r="I286" s="15">
        <f t="shared" si="53"/>
        <v>282</v>
      </c>
      <c r="J286" s="16">
        <f t="shared" ca="1" si="54"/>
        <v>125.5400445411434</v>
      </c>
      <c r="K286" s="16">
        <f t="shared" ca="1" si="44"/>
        <v>144.4599554588566</v>
      </c>
      <c r="L286" s="16">
        <f t="shared" ca="1" si="45"/>
        <v>125.5400445411434</v>
      </c>
      <c r="M286" s="17">
        <f t="shared" ca="1" si="46"/>
        <v>722.29977729428299</v>
      </c>
      <c r="N286" s="17">
        <f t="shared" si="47"/>
        <v>20</v>
      </c>
      <c r="O286" s="17">
        <f t="shared" si="48"/>
        <v>-810</v>
      </c>
      <c r="P286" s="18">
        <f t="shared" ca="1" si="49"/>
        <v>-62.770022270571701</v>
      </c>
      <c r="Q286" s="18">
        <f t="shared" ca="1" si="50"/>
        <v>188.3100668117151</v>
      </c>
      <c r="R286" s="19">
        <f t="shared" ca="1" si="51"/>
        <v>57.839821835426392</v>
      </c>
      <c r="S286" s="15">
        <f t="shared" ca="1" si="52"/>
        <v>0</v>
      </c>
    </row>
    <row r="287" spans="9:19">
      <c r="I287" s="15">
        <f t="shared" si="53"/>
        <v>283</v>
      </c>
      <c r="J287" s="16">
        <f t="shared" ca="1" si="54"/>
        <v>395.16099464232423</v>
      </c>
      <c r="K287" s="16">
        <f t="shared" ca="1" si="44"/>
        <v>270</v>
      </c>
      <c r="L287" s="16">
        <f t="shared" ca="1" si="45"/>
        <v>0</v>
      </c>
      <c r="M287" s="17">
        <f t="shared" ca="1" si="46"/>
        <v>1350</v>
      </c>
      <c r="N287" s="17">
        <f t="shared" si="47"/>
        <v>20</v>
      </c>
      <c r="O287" s="17">
        <f t="shared" si="48"/>
        <v>-810</v>
      </c>
      <c r="P287" s="18">
        <f t="shared" ca="1" si="49"/>
        <v>0</v>
      </c>
      <c r="Q287" s="18">
        <f t="shared" ca="1" si="50"/>
        <v>0</v>
      </c>
      <c r="R287" s="19">
        <f t="shared" ca="1" si="51"/>
        <v>560</v>
      </c>
      <c r="S287" s="15">
        <f t="shared" ca="1" si="52"/>
        <v>0</v>
      </c>
    </row>
    <row r="288" spans="9:19">
      <c r="I288" s="15">
        <f t="shared" si="53"/>
        <v>284</v>
      </c>
      <c r="J288" s="16">
        <f t="shared" ca="1" si="54"/>
        <v>364.51129791364883</v>
      </c>
      <c r="K288" s="16">
        <f t="shared" ca="1" si="44"/>
        <v>270</v>
      </c>
      <c r="L288" s="16">
        <f t="shared" ca="1" si="45"/>
        <v>0</v>
      </c>
      <c r="M288" s="17">
        <f t="shared" ca="1" si="46"/>
        <v>1350</v>
      </c>
      <c r="N288" s="17">
        <f t="shared" si="47"/>
        <v>20</v>
      </c>
      <c r="O288" s="17">
        <f t="shared" si="48"/>
        <v>-810</v>
      </c>
      <c r="P288" s="18">
        <f t="shared" ca="1" si="49"/>
        <v>0</v>
      </c>
      <c r="Q288" s="18">
        <f t="shared" ca="1" si="50"/>
        <v>0</v>
      </c>
      <c r="R288" s="19">
        <f t="shared" ca="1" si="51"/>
        <v>560</v>
      </c>
      <c r="S288" s="15">
        <f t="shared" ca="1" si="52"/>
        <v>0</v>
      </c>
    </row>
    <row r="289" spans="9:19">
      <c r="I289" s="15">
        <f t="shared" si="53"/>
        <v>285</v>
      </c>
      <c r="J289" s="16">
        <f t="shared" ca="1" si="54"/>
        <v>227.84807260938254</v>
      </c>
      <c r="K289" s="16">
        <f t="shared" ca="1" si="44"/>
        <v>42.151927390617459</v>
      </c>
      <c r="L289" s="16">
        <f t="shared" ca="1" si="45"/>
        <v>227.84807260938254</v>
      </c>
      <c r="M289" s="17">
        <f t="shared" ca="1" si="46"/>
        <v>210.75963695308729</v>
      </c>
      <c r="N289" s="17">
        <f t="shared" si="47"/>
        <v>20</v>
      </c>
      <c r="O289" s="17">
        <f t="shared" si="48"/>
        <v>-810</v>
      </c>
      <c r="P289" s="18">
        <f t="shared" ca="1" si="49"/>
        <v>-113.92403630469127</v>
      </c>
      <c r="Q289" s="18">
        <f t="shared" ca="1" si="50"/>
        <v>341.77210891407378</v>
      </c>
      <c r="R289" s="19">
        <f t="shared" ca="1" si="51"/>
        <v>-351.39229043753028</v>
      </c>
      <c r="S289" s="15">
        <f t="shared" ca="1" si="52"/>
        <v>1</v>
      </c>
    </row>
    <row r="290" spans="9:19">
      <c r="I290" s="15">
        <f t="shared" si="53"/>
        <v>286</v>
      </c>
      <c r="J290" s="16">
        <f t="shared" ca="1" si="54"/>
        <v>181.39851681194995</v>
      </c>
      <c r="K290" s="16">
        <f t="shared" ca="1" si="44"/>
        <v>88.601483188050054</v>
      </c>
      <c r="L290" s="16">
        <f t="shared" ca="1" si="45"/>
        <v>181.39851681194995</v>
      </c>
      <c r="M290" s="17">
        <f t="shared" ca="1" si="46"/>
        <v>443.00741594025027</v>
      </c>
      <c r="N290" s="17">
        <f t="shared" si="47"/>
        <v>20</v>
      </c>
      <c r="O290" s="17">
        <f t="shared" si="48"/>
        <v>-810</v>
      </c>
      <c r="P290" s="18">
        <f t="shared" ca="1" si="49"/>
        <v>-90.699258405974973</v>
      </c>
      <c r="Q290" s="18">
        <f t="shared" ca="1" si="50"/>
        <v>272.09777521792489</v>
      </c>
      <c r="R290" s="19">
        <f t="shared" ca="1" si="51"/>
        <v>-165.59406724779979</v>
      </c>
      <c r="S290" s="15">
        <f t="shared" ca="1" si="52"/>
        <v>1</v>
      </c>
    </row>
    <row r="291" spans="9:19">
      <c r="I291" s="15">
        <f t="shared" si="53"/>
        <v>287</v>
      </c>
      <c r="J291" s="16">
        <f t="shared" ca="1" si="54"/>
        <v>386.60265352898807</v>
      </c>
      <c r="K291" s="16">
        <f t="shared" ca="1" si="44"/>
        <v>270</v>
      </c>
      <c r="L291" s="16">
        <f t="shared" ca="1" si="45"/>
        <v>0</v>
      </c>
      <c r="M291" s="17">
        <f t="shared" ca="1" si="46"/>
        <v>1350</v>
      </c>
      <c r="N291" s="17">
        <f t="shared" si="47"/>
        <v>20</v>
      </c>
      <c r="O291" s="17">
        <f t="shared" si="48"/>
        <v>-810</v>
      </c>
      <c r="P291" s="18">
        <f t="shared" ca="1" si="49"/>
        <v>0</v>
      </c>
      <c r="Q291" s="18">
        <f t="shared" ca="1" si="50"/>
        <v>0</v>
      </c>
      <c r="R291" s="19">
        <f t="shared" ca="1" si="51"/>
        <v>560</v>
      </c>
      <c r="S291" s="15">
        <f t="shared" ca="1" si="52"/>
        <v>0</v>
      </c>
    </row>
    <row r="292" spans="9:19">
      <c r="I292" s="15">
        <f t="shared" si="53"/>
        <v>288</v>
      </c>
      <c r="J292" s="16">
        <f t="shared" ca="1" si="54"/>
        <v>285.56005260112465</v>
      </c>
      <c r="K292" s="16">
        <f t="shared" ca="1" si="44"/>
        <v>270</v>
      </c>
      <c r="L292" s="16">
        <f t="shared" ca="1" si="45"/>
        <v>0</v>
      </c>
      <c r="M292" s="17">
        <f t="shared" ca="1" si="46"/>
        <v>1350</v>
      </c>
      <c r="N292" s="17">
        <f t="shared" si="47"/>
        <v>20</v>
      </c>
      <c r="O292" s="17">
        <f t="shared" si="48"/>
        <v>-810</v>
      </c>
      <c r="P292" s="18">
        <f t="shared" ca="1" si="49"/>
        <v>0</v>
      </c>
      <c r="Q292" s="18">
        <f t="shared" ca="1" si="50"/>
        <v>0</v>
      </c>
      <c r="R292" s="19">
        <f t="shared" ca="1" si="51"/>
        <v>560</v>
      </c>
      <c r="S292" s="15">
        <f t="shared" ca="1" si="52"/>
        <v>0</v>
      </c>
    </row>
    <row r="293" spans="9:19">
      <c r="I293" s="15">
        <f t="shared" si="53"/>
        <v>289</v>
      </c>
      <c r="J293" s="16">
        <f t="shared" ca="1" si="54"/>
        <v>346.61768393254295</v>
      </c>
      <c r="K293" s="16">
        <f t="shared" ca="1" si="44"/>
        <v>270</v>
      </c>
      <c r="L293" s="16">
        <f t="shared" ca="1" si="45"/>
        <v>0</v>
      </c>
      <c r="M293" s="17">
        <f t="shared" ca="1" si="46"/>
        <v>1350</v>
      </c>
      <c r="N293" s="17">
        <f t="shared" si="47"/>
        <v>20</v>
      </c>
      <c r="O293" s="17">
        <f t="shared" si="48"/>
        <v>-810</v>
      </c>
      <c r="P293" s="18">
        <f t="shared" ca="1" si="49"/>
        <v>0</v>
      </c>
      <c r="Q293" s="18">
        <f t="shared" ca="1" si="50"/>
        <v>0</v>
      </c>
      <c r="R293" s="19">
        <f t="shared" ca="1" si="51"/>
        <v>560</v>
      </c>
      <c r="S293" s="15">
        <f t="shared" ca="1" si="52"/>
        <v>0</v>
      </c>
    </row>
    <row r="294" spans="9:19">
      <c r="I294" s="15">
        <f t="shared" si="53"/>
        <v>290</v>
      </c>
      <c r="J294" s="16">
        <f t="shared" ca="1" si="54"/>
        <v>162.05666654011677</v>
      </c>
      <c r="K294" s="16">
        <f t="shared" ca="1" si="44"/>
        <v>107.94333345988323</v>
      </c>
      <c r="L294" s="16">
        <f t="shared" ca="1" si="45"/>
        <v>162.05666654011677</v>
      </c>
      <c r="M294" s="17">
        <f t="shared" ca="1" si="46"/>
        <v>539.71666729941614</v>
      </c>
      <c r="N294" s="17">
        <f t="shared" si="47"/>
        <v>20</v>
      </c>
      <c r="O294" s="17">
        <f t="shared" si="48"/>
        <v>-810</v>
      </c>
      <c r="P294" s="18">
        <f t="shared" ca="1" si="49"/>
        <v>-81.028333270058383</v>
      </c>
      <c r="Q294" s="18">
        <f t="shared" ca="1" si="50"/>
        <v>243.08499981017513</v>
      </c>
      <c r="R294" s="19">
        <f t="shared" ca="1" si="51"/>
        <v>-88.226666160467119</v>
      </c>
      <c r="S294" s="15">
        <f t="shared" ca="1" si="52"/>
        <v>1</v>
      </c>
    </row>
    <row r="295" spans="9:19">
      <c r="I295" s="15">
        <f t="shared" si="53"/>
        <v>291</v>
      </c>
      <c r="J295" s="16">
        <f t="shared" ca="1" si="54"/>
        <v>247.7328491702817</v>
      </c>
      <c r="K295" s="16">
        <f t="shared" ca="1" si="44"/>
        <v>22.267150829718304</v>
      </c>
      <c r="L295" s="16">
        <f t="shared" ca="1" si="45"/>
        <v>247.7328491702817</v>
      </c>
      <c r="M295" s="17">
        <f t="shared" ca="1" si="46"/>
        <v>111.33575414859152</v>
      </c>
      <c r="N295" s="17">
        <f t="shared" si="47"/>
        <v>20</v>
      </c>
      <c r="O295" s="17">
        <f t="shared" si="48"/>
        <v>-810</v>
      </c>
      <c r="P295" s="18">
        <f t="shared" ca="1" si="49"/>
        <v>-123.86642458514085</v>
      </c>
      <c r="Q295" s="18">
        <f t="shared" ca="1" si="50"/>
        <v>371.59927375542253</v>
      </c>
      <c r="R295" s="19">
        <f t="shared" ca="1" si="51"/>
        <v>-430.93139668112684</v>
      </c>
      <c r="S295" s="15">
        <f t="shared" ca="1" si="52"/>
        <v>1</v>
      </c>
    </row>
    <row r="296" spans="9:19">
      <c r="I296" s="15">
        <f t="shared" si="53"/>
        <v>292</v>
      </c>
      <c r="J296" s="16">
        <f t="shared" ca="1" si="54"/>
        <v>205.3768327867447</v>
      </c>
      <c r="K296" s="16">
        <f t="shared" ca="1" si="44"/>
        <v>64.6231672132553</v>
      </c>
      <c r="L296" s="16">
        <f t="shared" ca="1" si="45"/>
        <v>205.3768327867447</v>
      </c>
      <c r="M296" s="17">
        <f t="shared" ca="1" si="46"/>
        <v>323.11583606627653</v>
      </c>
      <c r="N296" s="17">
        <f t="shared" si="47"/>
        <v>20</v>
      </c>
      <c r="O296" s="17">
        <f t="shared" si="48"/>
        <v>-810</v>
      </c>
      <c r="P296" s="18">
        <f t="shared" ca="1" si="49"/>
        <v>-102.68841639337235</v>
      </c>
      <c r="Q296" s="18">
        <f t="shared" ca="1" si="50"/>
        <v>308.06524918011706</v>
      </c>
      <c r="R296" s="19">
        <f t="shared" ca="1" si="51"/>
        <v>-261.50733114697874</v>
      </c>
      <c r="S296" s="15">
        <f t="shared" ca="1" si="52"/>
        <v>1</v>
      </c>
    </row>
    <row r="297" spans="9:19">
      <c r="I297" s="15">
        <f t="shared" si="53"/>
        <v>293</v>
      </c>
      <c r="J297" s="16">
        <f t="shared" ca="1" si="54"/>
        <v>361.39172591048566</v>
      </c>
      <c r="K297" s="16">
        <f t="shared" ca="1" si="44"/>
        <v>270</v>
      </c>
      <c r="L297" s="16">
        <f t="shared" ca="1" si="45"/>
        <v>0</v>
      </c>
      <c r="M297" s="17">
        <f t="shared" ca="1" si="46"/>
        <v>1350</v>
      </c>
      <c r="N297" s="17">
        <f t="shared" si="47"/>
        <v>20</v>
      </c>
      <c r="O297" s="17">
        <f t="shared" si="48"/>
        <v>-810</v>
      </c>
      <c r="P297" s="18">
        <f t="shared" ca="1" si="49"/>
        <v>0</v>
      </c>
      <c r="Q297" s="18">
        <f t="shared" ca="1" si="50"/>
        <v>0</v>
      </c>
      <c r="R297" s="19">
        <f t="shared" ca="1" si="51"/>
        <v>560</v>
      </c>
      <c r="S297" s="15">
        <f t="shared" ca="1" si="52"/>
        <v>0</v>
      </c>
    </row>
    <row r="298" spans="9:19">
      <c r="I298" s="15">
        <f t="shared" si="53"/>
        <v>294</v>
      </c>
      <c r="J298" s="16">
        <f t="shared" ca="1" si="54"/>
        <v>250.86132823261448</v>
      </c>
      <c r="K298" s="16">
        <f t="shared" ca="1" si="44"/>
        <v>19.138671767385517</v>
      </c>
      <c r="L298" s="16">
        <f t="shared" ca="1" si="45"/>
        <v>250.86132823261448</v>
      </c>
      <c r="M298" s="17">
        <f t="shared" ca="1" si="46"/>
        <v>95.693358836927587</v>
      </c>
      <c r="N298" s="17">
        <f t="shared" si="47"/>
        <v>20</v>
      </c>
      <c r="O298" s="17">
        <f t="shared" si="48"/>
        <v>-810</v>
      </c>
      <c r="P298" s="18">
        <f t="shared" ca="1" si="49"/>
        <v>-125.43066411630724</v>
      </c>
      <c r="Q298" s="18">
        <f t="shared" ca="1" si="50"/>
        <v>376.29199234892172</v>
      </c>
      <c r="R298" s="19">
        <f t="shared" ca="1" si="51"/>
        <v>-443.44531293045787</v>
      </c>
      <c r="S298" s="15">
        <f t="shared" ca="1" si="52"/>
        <v>1</v>
      </c>
    </row>
    <row r="299" spans="9:19">
      <c r="I299" s="15">
        <f t="shared" si="53"/>
        <v>295</v>
      </c>
      <c r="J299" s="16">
        <f t="shared" ca="1" si="54"/>
        <v>345.95853847919523</v>
      </c>
      <c r="K299" s="16">
        <f t="shared" ca="1" si="44"/>
        <v>270</v>
      </c>
      <c r="L299" s="16">
        <f t="shared" ca="1" si="45"/>
        <v>0</v>
      </c>
      <c r="M299" s="17">
        <f t="shared" ca="1" si="46"/>
        <v>1350</v>
      </c>
      <c r="N299" s="17">
        <f t="shared" si="47"/>
        <v>20</v>
      </c>
      <c r="O299" s="17">
        <f t="shared" si="48"/>
        <v>-810</v>
      </c>
      <c r="P299" s="18">
        <f t="shared" ca="1" si="49"/>
        <v>0</v>
      </c>
      <c r="Q299" s="18">
        <f t="shared" ca="1" si="50"/>
        <v>0</v>
      </c>
      <c r="R299" s="19">
        <f t="shared" ca="1" si="51"/>
        <v>560</v>
      </c>
      <c r="S299" s="15">
        <f t="shared" ca="1" si="52"/>
        <v>0</v>
      </c>
    </row>
    <row r="300" spans="9:19">
      <c r="I300" s="15">
        <f t="shared" si="53"/>
        <v>296</v>
      </c>
      <c r="J300" s="16">
        <f t="shared" ca="1" si="54"/>
        <v>373.76225163969013</v>
      </c>
      <c r="K300" s="16">
        <f t="shared" ca="1" si="44"/>
        <v>270</v>
      </c>
      <c r="L300" s="16">
        <f t="shared" ca="1" si="45"/>
        <v>0</v>
      </c>
      <c r="M300" s="17">
        <f t="shared" ca="1" si="46"/>
        <v>1350</v>
      </c>
      <c r="N300" s="17">
        <f t="shared" si="47"/>
        <v>20</v>
      </c>
      <c r="O300" s="17">
        <f t="shared" si="48"/>
        <v>-810</v>
      </c>
      <c r="P300" s="18">
        <f t="shared" ca="1" si="49"/>
        <v>0</v>
      </c>
      <c r="Q300" s="18">
        <f t="shared" ca="1" si="50"/>
        <v>0</v>
      </c>
      <c r="R300" s="19">
        <f t="shared" ca="1" si="51"/>
        <v>560</v>
      </c>
      <c r="S300" s="15">
        <f t="shared" ca="1" si="52"/>
        <v>0</v>
      </c>
    </row>
    <row r="301" spans="9:19">
      <c r="I301" s="15">
        <f t="shared" si="53"/>
        <v>297</v>
      </c>
      <c r="J301" s="16">
        <f t="shared" ca="1" si="54"/>
        <v>324.14888959095845</v>
      </c>
      <c r="K301" s="16">
        <f t="shared" ca="1" si="44"/>
        <v>270</v>
      </c>
      <c r="L301" s="16">
        <f t="shared" ca="1" si="45"/>
        <v>0</v>
      </c>
      <c r="M301" s="17">
        <f t="shared" ca="1" si="46"/>
        <v>1350</v>
      </c>
      <c r="N301" s="17">
        <f t="shared" si="47"/>
        <v>20</v>
      </c>
      <c r="O301" s="17">
        <f t="shared" si="48"/>
        <v>-810</v>
      </c>
      <c r="P301" s="18">
        <f t="shared" ca="1" si="49"/>
        <v>0</v>
      </c>
      <c r="Q301" s="18">
        <f t="shared" ca="1" si="50"/>
        <v>0</v>
      </c>
      <c r="R301" s="19">
        <f t="shared" ca="1" si="51"/>
        <v>560</v>
      </c>
      <c r="S301" s="15">
        <f t="shared" ca="1" si="52"/>
        <v>0</v>
      </c>
    </row>
    <row r="302" spans="9:19">
      <c r="I302" s="15">
        <f t="shared" si="53"/>
        <v>298</v>
      </c>
      <c r="J302" s="16">
        <f t="shared" ca="1" si="54"/>
        <v>276.64861529927884</v>
      </c>
      <c r="K302" s="16">
        <f t="shared" ca="1" si="44"/>
        <v>270</v>
      </c>
      <c r="L302" s="16">
        <f t="shared" ca="1" si="45"/>
        <v>0</v>
      </c>
      <c r="M302" s="17">
        <f t="shared" ca="1" si="46"/>
        <v>1350</v>
      </c>
      <c r="N302" s="17">
        <f t="shared" si="47"/>
        <v>20</v>
      </c>
      <c r="O302" s="17">
        <f t="shared" si="48"/>
        <v>-810</v>
      </c>
      <c r="P302" s="18">
        <f t="shared" ca="1" si="49"/>
        <v>0</v>
      </c>
      <c r="Q302" s="18">
        <f t="shared" ca="1" si="50"/>
        <v>0</v>
      </c>
      <c r="R302" s="19">
        <f t="shared" ca="1" si="51"/>
        <v>560</v>
      </c>
      <c r="S302" s="15">
        <f t="shared" ca="1" si="52"/>
        <v>0</v>
      </c>
    </row>
    <row r="303" spans="9:19">
      <c r="I303" s="15">
        <f t="shared" si="53"/>
        <v>299</v>
      </c>
      <c r="J303" s="16">
        <f t="shared" ca="1" si="54"/>
        <v>410.27234882731415</v>
      </c>
      <c r="K303" s="16">
        <f t="shared" ca="1" si="44"/>
        <v>270</v>
      </c>
      <c r="L303" s="16">
        <f t="shared" ca="1" si="45"/>
        <v>0</v>
      </c>
      <c r="M303" s="17">
        <f t="shared" ca="1" si="46"/>
        <v>1350</v>
      </c>
      <c r="N303" s="17">
        <f t="shared" si="47"/>
        <v>20</v>
      </c>
      <c r="O303" s="17">
        <f t="shared" si="48"/>
        <v>-810</v>
      </c>
      <c r="P303" s="18">
        <f t="shared" ca="1" si="49"/>
        <v>0</v>
      </c>
      <c r="Q303" s="18">
        <f t="shared" ca="1" si="50"/>
        <v>0</v>
      </c>
      <c r="R303" s="19">
        <f t="shared" ca="1" si="51"/>
        <v>560</v>
      </c>
      <c r="S303" s="15">
        <f t="shared" ca="1" si="52"/>
        <v>0</v>
      </c>
    </row>
    <row r="304" spans="9:19">
      <c r="I304" s="15">
        <f t="shared" si="53"/>
        <v>300</v>
      </c>
      <c r="J304" s="16">
        <f t="shared" ca="1" si="54"/>
        <v>385.19951615359605</v>
      </c>
      <c r="K304" s="16">
        <f t="shared" ca="1" si="44"/>
        <v>270</v>
      </c>
      <c r="L304" s="16">
        <f t="shared" ca="1" si="45"/>
        <v>0</v>
      </c>
      <c r="M304" s="17">
        <f t="shared" ca="1" si="46"/>
        <v>1350</v>
      </c>
      <c r="N304" s="17">
        <f t="shared" si="47"/>
        <v>20</v>
      </c>
      <c r="O304" s="17">
        <f t="shared" si="48"/>
        <v>-810</v>
      </c>
      <c r="P304" s="18">
        <f t="shared" ca="1" si="49"/>
        <v>0</v>
      </c>
      <c r="Q304" s="18">
        <f t="shared" ca="1" si="50"/>
        <v>0</v>
      </c>
      <c r="R304" s="19">
        <f t="shared" ca="1" si="51"/>
        <v>560</v>
      </c>
      <c r="S304" s="15">
        <f t="shared" ca="1" si="52"/>
        <v>0</v>
      </c>
    </row>
    <row r="305" spans="9:19">
      <c r="I305" s="15">
        <f t="shared" si="53"/>
        <v>301</v>
      </c>
      <c r="J305" s="16">
        <f t="shared" ca="1" si="54"/>
        <v>242.63248350677213</v>
      </c>
      <c r="K305" s="16">
        <f t="shared" ca="1" si="44"/>
        <v>27.367516493227868</v>
      </c>
      <c r="L305" s="16">
        <f t="shared" ca="1" si="45"/>
        <v>242.63248350677213</v>
      </c>
      <c r="M305" s="17">
        <f t="shared" ca="1" si="46"/>
        <v>136.83758246613934</v>
      </c>
      <c r="N305" s="17">
        <f t="shared" si="47"/>
        <v>20</v>
      </c>
      <c r="O305" s="17">
        <f t="shared" si="48"/>
        <v>-810</v>
      </c>
      <c r="P305" s="18">
        <f t="shared" ca="1" si="49"/>
        <v>-121.31624175338607</v>
      </c>
      <c r="Q305" s="18">
        <f t="shared" ca="1" si="50"/>
        <v>363.9487252601582</v>
      </c>
      <c r="R305" s="19">
        <f t="shared" ca="1" si="51"/>
        <v>-410.52993402708853</v>
      </c>
      <c r="S305" s="15">
        <f t="shared" ca="1" si="52"/>
        <v>1</v>
      </c>
    </row>
    <row r="306" spans="9:19">
      <c r="I306" s="15">
        <f t="shared" si="53"/>
        <v>302</v>
      </c>
      <c r="J306" s="16">
        <f t="shared" ca="1" si="54"/>
        <v>160.32513575435337</v>
      </c>
      <c r="K306" s="16">
        <f t="shared" ca="1" si="44"/>
        <v>109.67486424564663</v>
      </c>
      <c r="L306" s="16">
        <f t="shared" ca="1" si="45"/>
        <v>160.32513575435337</v>
      </c>
      <c r="M306" s="17">
        <f t="shared" ca="1" si="46"/>
        <v>548.37432122823316</v>
      </c>
      <c r="N306" s="17">
        <f t="shared" si="47"/>
        <v>20</v>
      </c>
      <c r="O306" s="17">
        <f t="shared" si="48"/>
        <v>-810</v>
      </c>
      <c r="P306" s="18">
        <f t="shared" ca="1" si="49"/>
        <v>-80.162567877176684</v>
      </c>
      <c r="Q306" s="18">
        <f t="shared" ca="1" si="50"/>
        <v>240.48770363153005</v>
      </c>
      <c r="R306" s="19">
        <f t="shared" ca="1" si="51"/>
        <v>-81.300543017413474</v>
      </c>
      <c r="S306" s="15">
        <f t="shared" ca="1" si="52"/>
        <v>1</v>
      </c>
    </row>
    <row r="307" spans="9:19">
      <c r="I307" s="15">
        <f t="shared" si="53"/>
        <v>303</v>
      </c>
      <c r="J307" s="16">
        <f t="shared" ca="1" si="54"/>
        <v>134.72525938911105</v>
      </c>
      <c r="K307" s="16">
        <f t="shared" ca="1" si="44"/>
        <v>135.27474061088895</v>
      </c>
      <c r="L307" s="16">
        <f t="shared" ca="1" si="45"/>
        <v>134.72525938911105</v>
      </c>
      <c r="M307" s="17">
        <f t="shared" ca="1" si="46"/>
        <v>676.37370305444483</v>
      </c>
      <c r="N307" s="17">
        <f t="shared" si="47"/>
        <v>20</v>
      </c>
      <c r="O307" s="17">
        <f t="shared" si="48"/>
        <v>-810</v>
      </c>
      <c r="P307" s="18">
        <f t="shared" ca="1" si="49"/>
        <v>-67.362629694555523</v>
      </c>
      <c r="Q307" s="18">
        <f t="shared" ca="1" si="50"/>
        <v>202.08788908366657</v>
      </c>
      <c r="R307" s="19">
        <f t="shared" ca="1" si="51"/>
        <v>21.098962443555877</v>
      </c>
      <c r="S307" s="15">
        <f t="shared" ca="1" si="52"/>
        <v>0</v>
      </c>
    </row>
    <row r="308" spans="9:19">
      <c r="I308" s="15">
        <f t="shared" si="53"/>
        <v>304</v>
      </c>
      <c r="J308" s="16">
        <f t="shared" ca="1" si="54"/>
        <v>135.04320412788854</v>
      </c>
      <c r="K308" s="16">
        <f t="shared" ca="1" si="44"/>
        <v>134.95679587211146</v>
      </c>
      <c r="L308" s="16">
        <f t="shared" ca="1" si="45"/>
        <v>135.04320412788854</v>
      </c>
      <c r="M308" s="17">
        <f t="shared" ca="1" si="46"/>
        <v>674.78397936055728</v>
      </c>
      <c r="N308" s="17">
        <f t="shared" si="47"/>
        <v>20</v>
      </c>
      <c r="O308" s="17">
        <f t="shared" si="48"/>
        <v>-810</v>
      </c>
      <c r="P308" s="18">
        <f t="shared" ca="1" si="49"/>
        <v>-67.521602063944272</v>
      </c>
      <c r="Q308" s="18">
        <f t="shared" ca="1" si="50"/>
        <v>202.56480619183282</v>
      </c>
      <c r="R308" s="19">
        <f t="shared" ca="1" si="51"/>
        <v>19.827183488445826</v>
      </c>
      <c r="S308" s="15">
        <f t="shared" ca="1" si="52"/>
        <v>0</v>
      </c>
    </row>
    <row r="309" spans="9:19">
      <c r="I309" s="15">
        <f t="shared" si="53"/>
        <v>305</v>
      </c>
      <c r="J309" s="16">
        <f t="shared" ca="1" si="54"/>
        <v>321.06473708567512</v>
      </c>
      <c r="K309" s="16">
        <f t="shared" ca="1" si="44"/>
        <v>270</v>
      </c>
      <c r="L309" s="16">
        <f t="shared" ca="1" si="45"/>
        <v>0</v>
      </c>
      <c r="M309" s="17">
        <f t="shared" ca="1" si="46"/>
        <v>1350</v>
      </c>
      <c r="N309" s="17">
        <f t="shared" si="47"/>
        <v>20</v>
      </c>
      <c r="O309" s="17">
        <f t="shared" si="48"/>
        <v>-810</v>
      </c>
      <c r="P309" s="18">
        <f t="shared" ca="1" si="49"/>
        <v>0</v>
      </c>
      <c r="Q309" s="18">
        <f t="shared" ca="1" si="50"/>
        <v>0</v>
      </c>
      <c r="R309" s="19">
        <f t="shared" ca="1" si="51"/>
        <v>560</v>
      </c>
      <c r="S309" s="15">
        <f t="shared" ca="1" si="52"/>
        <v>0</v>
      </c>
    </row>
    <row r="310" spans="9:19">
      <c r="I310" s="15">
        <f t="shared" si="53"/>
        <v>306</v>
      </c>
      <c r="J310" s="16">
        <f t="shared" ca="1" si="54"/>
        <v>179.49760678164881</v>
      </c>
      <c r="K310" s="16">
        <f t="shared" ca="1" si="44"/>
        <v>90.502393218351187</v>
      </c>
      <c r="L310" s="16">
        <f t="shared" ca="1" si="45"/>
        <v>179.49760678164881</v>
      </c>
      <c r="M310" s="17">
        <f t="shared" ca="1" si="46"/>
        <v>452.51196609175594</v>
      </c>
      <c r="N310" s="17">
        <f t="shared" si="47"/>
        <v>20</v>
      </c>
      <c r="O310" s="17">
        <f t="shared" si="48"/>
        <v>-810</v>
      </c>
      <c r="P310" s="18">
        <f t="shared" ca="1" si="49"/>
        <v>-89.748803390824406</v>
      </c>
      <c r="Q310" s="18">
        <f t="shared" ca="1" si="50"/>
        <v>269.24641017247325</v>
      </c>
      <c r="R310" s="19">
        <f t="shared" ca="1" si="51"/>
        <v>-157.99042712659525</v>
      </c>
      <c r="S310" s="15">
        <f t="shared" ca="1" si="52"/>
        <v>1</v>
      </c>
    </row>
    <row r="311" spans="9:19">
      <c r="I311" s="15">
        <f t="shared" si="53"/>
        <v>307</v>
      </c>
      <c r="J311" s="16">
        <f t="shared" ca="1" si="54"/>
        <v>388.15328813358434</v>
      </c>
      <c r="K311" s="16">
        <f t="shared" ca="1" si="44"/>
        <v>270</v>
      </c>
      <c r="L311" s="16">
        <f t="shared" ca="1" si="45"/>
        <v>0</v>
      </c>
      <c r="M311" s="17">
        <f t="shared" ca="1" si="46"/>
        <v>1350</v>
      </c>
      <c r="N311" s="17">
        <f t="shared" si="47"/>
        <v>20</v>
      </c>
      <c r="O311" s="17">
        <f t="shared" si="48"/>
        <v>-810</v>
      </c>
      <c r="P311" s="18">
        <f t="shared" ca="1" si="49"/>
        <v>0</v>
      </c>
      <c r="Q311" s="18">
        <f t="shared" ca="1" si="50"/>
        <v>0</v>
      </c>
      <c r="R311" s="19">
        <f t="shared" ca="1" si="51"/>
        <v>560</v>
      </c>
      <c r="S311" s="15">
        <f t="shared" ca="1" si="52"/>
        <v>0</v>
      </c>
    </row>
    <row r="312" spans="9:19">
      <c r="I312" s="15">
        <f t="shared" si="53"/>
        <v>308</v>
      </c>
      <c r="J312" s="16">
        <f t="shared" ca="1" si="54"/>
        <v>395.52265077584099</v>
      </c>
      <c r="K312" s="16">
        <f t="shared" ca="1" si="44"/>
        <v>270</v>
      </c>
      <c r="L312" s="16">
        <f t="shared" ca="1" si="45"/>
        <v>0</v>
      </c>
      <c r="M312" s="17">
        <f t="shared" ca="1" si="46"/>
        <v>1350</v>
      </c>
      <c r="N312" s="17">
        <f t="shared" si="47"/>
        <v>20</v>
      </c>
      <c r="O312" s="17">
        <f t="shared" si="48"/>
        <v>-810</v>
      </c>
      <c r="P312" s="18">
        <f t="shared" ca="1" si="49"/>
        <v>0</v>
      </c>
      <c r="Q312" s="18">
        <f t="shared" ca="1" si="50"/>
        <v>0</v>
      </c>
      <c r="R312" s="19">
        <f t="shared" ca="1" si="51"/>
        <v>560</v>
      </c>
      <c r="S312" s="15">
        <f t="shared" ca="1" si="52"/>
        <v>0</v>
      </c>
    </row>
    <row r="313" spans="9:19">
      <c r="I313" s="15">
        <f t="shared" si="53"/>
        <v>309</v>
      </c>
      <c r="J313" s="16">
        <f t="shared" ca="1" si="54"/>
        <v>386.88566823491465</v>
      </c>
      <c r="K313" s="16">
        <f t="shared" ca="1" si="44"/>
        <v>270</v>
      </c>
      <c r="L313" s="16">
        <f t="shared" ca="1" si="45"/>
        <v>0</v>
      </c>
      <c r="M313" s="17">
        <f t="shared" ca="1" si="46"/>
        <v>1350</v>
      </c>
      <c r="N313" s="17">
        <f t="shared" si="47"/>
        <v>20</v>
      </c>
      <c r="O313" s="17">
        <f t="shared" si="48"/>
        <v>-810</v>
      </c>
      <c r="P313" s="18">
        <f t="shared" ca="1" si="49"/>
        <v>0</v>
      </c>
      <c r="Q313" s="18">
        <f t="shared" ca="1" si="50"/>
        <v>0</v>
      </c>
      <c r="R313" s="19">
        <f t="shared" ca="1" si="51"/>
        <v>560</v>
      </c>
      <c r="S313" s="15">
        <f t="shared" ca="1" si="52"/>
        <v>0</v>
      </c>
    </row>
    <row r="314" spans="9:19">
      <c r="I314" s="15">
        <f t="shared" si="53"/>
        <v>310</v>
      </c>
      <c r="J314" s="16">
        <f t="shared" ca="1" si="54"/>
        <v>185.50277674477877</v>
      </c>
      <c r="K314" s="16">
        <f t="shared" ca="1" si="44"/>
        <v>84.497223255221229</v>
      </c>
      <c r="L314" s="16">
        <f t="shared" ca="1" si="45"/>
        <v>185.50277674477877</v>
      </c>
      <c r="M314" s="17">
        <f t="shared" ca="1" si="46"/>
        <v>422.48611627610615</v>
      </c>
      <c r="N314" s="17">
        <f t="shared" si="47"/>
        <v>20</v>
      </c>
      <c r="O314" s="17">
        <f t="shared" si="48"/>
        <v>-810</v>
      </c>
      <c r="P314" s="18">
        <f t="shared" ca="1" si="49"/>
        <v>-92.751388372389385</v>
      </c>
      <c r="Q314" s="18">
        <f t="shared" ca="1" si="50"/>
        <v>278.25416511716816</v>
      </c>
      <c r="R314" s="19">
        <f t="shared" ca="1" si="51"/>
        <v>-182.01110697911508</v>
      </c>
      <c r="S314" s="15">
        <f t="shared" ca="1" si="52"/>
        <v>1</v>
      </c>
    </row>
    <row r="315" spans="9:19">
      <c r="I315" s="15">
        <f t="shared" si="53"/>
        <v>311</v>
      </c>
      <c r="J315" s="16">
        <f t="shared" ca="1" si="54"/>
        <v>286.31235547700868</v>
      </c>
      <c r="K315" s="16">
        <f t="shared" ca="1" si="44"/>
        <v>270</v>
      </c>
      <c r="L315" s="16">
        <f t="shared" ca="1" si="45"/>
        <v>0</v>
      </c>
      <c r="M315" s="17">
        <f t="shared" ca="1" si="46"/>
        <v>1350</v>
      </c>
      <c r="N315" s="17">
        <f t="shared" si="47"/>
        <v>20</v>
      </c>
      <c r="O315" s="17">
        <f t="shared" si="48"/>
        <v>-810</v>
      </c>
      <c r="P315" s="18">
        <f t="shared" ca="1" si="49"/>
        <v>0</v>
      </c>
      <c r="Q315" s="18">
        <f t="shared" ca="1" si="50"/>
        <v>0</v>
      </c>
      <c r="R315" s="19">
        <f t="shared" ca="1" si="51"/>
        <v>560</v>
      </c>
      <c r="S315" s="15">
        <f t="shared" ca="1" si="52"/>
        <v>0</v>
      </c>
    </row>
    <row r="316" spans="9:19">
      <c r="I316" s="15">
        <f t="shared" si="53"/>
        <v>312</v>
      </c>
      <c r="J316" s="16">
        <f t="shared" ca="1" si="54"/>
        <v>230.4721171679102</v>
      </c>
      <c r="K316" s="16">
        <f t="shared" ca="1" si="44"/>
        <v>39.527882832089801</v>
      </c>
      <c r="L316" s="16">
        <f t="shared" ca="1" si="45"/>
        <v>230.4721171679102</v>
      </c>
      <c r="M316" s="17">
        <f t="shared" ca="1" si="46"/>
        <v>197.63941416044901</v>
      </c>
      <c r="N316" s="17">
        <f t="shared" si="47"/>
        <v>20</v>
      </c>
      <c r="O316" s="17">
        <f t="shared" si="48"/>
        <v>-810</v>
      </c>
      <c r="P316" s="18">
        <f t="shared" ca="1" si="49"/>
        <v>-115.2360585839551</v>
      </c>
      <c r="Q316" s="18">
        <f t="shared" ca="1" si="50"/>
        <v>345.70817575186527</v>
      </c>
      <c r="R316" s="19">
        <f t="shared" ca="1" si="51"/>
        <v>-361.88846867164091</v>
      </c>
      <c r="S316" s="15">
        <f t="shared" ca="1" si="52"/>
        <v>1</v>
      </c>
    </row>
    <row r="317" spans="9:19">
      <c r="I317" s="15">
        <f t="shared" si="53"/>
        <v>313</v>
      </c>
      <c r="J317" s="16">
        <f t="shared" ca="1" si="54"/>
        <v>189.26223189270891</v>
      </c>
      <c r="K317" s="16">
        <f t="shared" ca="1" si="44"/>
        <v>80.737768107291089</v>
      </c>
      <c r="L317" s="16">
        <f t="shared" ca="1" si="45"/>
        <v>189.26223189270891</v>
      </c>
      <c r="M317" s="17">
        <f t="shared" ca="1" si="46"/>
        <v>403.68884053645547</v>
      </c>
      <c r="N317" s="17">
        <f t="shared" si="47"/>
        <v>20</v>
      </c>
      <c r="O317" s="17">
        <f t="shared" si="48"/>
        <v>-810</v>
      </c>
      <c r="P317" s="18">
        <f t="shared" ca="1" si="49"/>
        <v>-94.631115946354456</v>
      </c>
      <c r="Q317" s="18">
        <f t="shared" ca="1" si="50"/>
        <v>283.89334783906338</v>
      </c>
      <c r="R317" s="19">
        <f t="shared" ca="1" si="51"/>
        <v>-197.04892757083559</v>
      </c>
      <c r="S317" s="15">
        <f t="shared" ca="1" si="52"/>
        <v>1</v>
      </c>
    </row>
    <row r="318" spans="9:19">
      <c r="I318" s="15">
        <f t="shared" si="53"/>
        <v>314</v>
      </c>
      <c r="J318" s="16">
        <f t="shared" ca="1" si="54"/>
        <v>375.77299478742282</v>
      </c>
      <c r="K318" s="16">
        <f t="shared" ca="1" si="44"/>
        <v>270</v>
      </c>
      <c r="L318" s="16">
        <f t="shared" ca="1" si="45"/>
        <v>0</v>
      </c>
      <c r="M318" s="17">
        <f t="shared" ca="1" si="46"/>
        <v>1350</v>
      </c>
      <c r="N318" s="17">
        <f t="shared" si="47"/>
        <v>20</v>
      </c>
      <c r="O318" s="17">
        <f t="shared" si="48"/>
        <v>-810</v>
      </c>
      <c r="P318" s="18">
        <f t="shared" ca="1" si="49"/>
        <v>0</v>
      </c>
      <c r="Q318" s="18">
        <f t="shared" ca="1" si="50"/>
        <v>0</v>
      </c>
      <c r="R318" s="19">
        <f t="shared" ca="1" si="51"/>
        <v>560</v>
      </c>
      <c r="S318" s="15">
        <f t="shared" ca="1" si="52"/>
        <v>0</v>
      </c>
    </row>
    <row r="319" spans="9:19">
      <c r="I319" s="15">
        <f t="shared" si="53"/>
        <v>315</v>
      </c>
      <c r="J319" s="16">
        <f t="shared" ca="1" si="54"/>
        <v>321.56390670572966</v>
      </c>
      <c r="K319" s="16">
        <f t="shared" ca="1" si="44"/>
        <v>270</v>
      </c>
      <c r="L319" s="16">
        <f t="shared" ca="1" si="45"/>
        <v>0</v>
      </c>
      <c r="M319" s="17">
        <f t="shared" ca="1" si="46"/>
        <v>1350</v>
      </c>
      <c r="N319" s="17">
        <f t="shared" si="47"/>
        <v>20</v>
      </c>
      <c r="O319" s="17">
        <f t="shared" si="48"/>
        <v>-810</v>
      </c>
      <c r="P319" s="18">
        <f t="shared" ca="1" si="49"/>
        <v>0</v>
      </c>
      <c r="Q319" s="18">
        <f t="shared" ca="1" si="50"/>
        <v>0</v>
      </c>
      <c r="R319" s="19">
        <f t="shared" ca="1" si="51"/>
        <v>560</v>
      </c>
      <c r="S319" s="15">
        <f t="shared" ca="1" si="52"/>
        <v>0</v>
      </c>
    </row>
    <row r="320" spans="9:19">
      <c r="I320" s="15">
        <f t="shared" si="53"/>
        <v>316</v>
      </c>
      <c r="J320" s="16">
        <f t="shared" ca="1" si="54"/>
        <v>166.36328351446463</v>
      </c>
      <c r="K320" s="16">
        <f t="shared" ca="1" si="44"/>
        <v>103.63671648553537</v>
      </c>
      <c r="L320" s="16">
        <f t="shared" ca="1" si="45"/>
        <v>166.36328351446463</v>
      </c>
      <c r="M320" s="17">
        <f t="shared" ca="1" si="46"/>
        <v>518.18358242767681</v>
      </c>
      <c r="N320" s="17">
        <f t="shared" si="47"/>
        <v>20</v>
      </c>
      <c r="O320" s="17">
        <f t="shared" si="48"/>
        <v>-810</v>
      </c>
      <c r="P320" s="18">
        <f t="shared" ca="1" si="49"/>
        <v>-83.181641757232313</v>
      </c>
      <c r="Q320" s="18">
        <f t="shared" ca="1" si="50"/>
        <v>249.54492527169694</v>
      </c>
      <c r="R320" s="19">
        <f t="shared" ca="1" si="51"/>
        <v>-105.45313405785859</v>
      </c>
      <c r="S320" s="15">
        <f t="shared" ca="1" si="52"/>
        <v>1</v>
      </c>
    </row>
    <row r="321" spans="9:19">
      <c r="I321" s="15">
        <f t="shared" si="53"/>
        <v>317</v>
      </c>
      <c r="J321" s="16">
        <f t="shared" ca="1" si="54"/>
        <v>244.84186202500246</v>
      </c>
      <c r="K321" s="16">
        <f t="shared" ca="1" si="44"/>
        <v>25.158137974997544</v>
      </c>
      <c r="L321" s="16">
        <f t="shared" ca="1" si="45"/>
        <v>244.84186202500246</v>
      </c>
      <c r="M321" s="17">
        <f t="shared" ca="1" si="46"/>
        <v>125.79068987498772</v>
      </c>
      <c r="N321" s="17">
        <f t="shared" si="47"/>
        <v>20</v>
      </c>
      <c r="O321" s="17">
        <f t="shared" si="48"/>
        <v>-810</v>
      </c>
      <c r="P321" s="18">
        <f t="shared" ca="1" si="49"/>
        <v>-122.42093101250123</v>
      </c>
      <c r="Q321" s="18">
        <f t="shared" ca="1" si="50"/>
        <v>367.26279303750368</v>
      </c>
      <c r="R321" s="19">
        <f t="shared" ca="1" si="51"/>
        <v>-419.36744810000982</v>
      </c>
      <c r="S321" s="15">
        <f t="shared" ca="1" si="52"/>
        <v>1</v>
      </c>
    </row>
    <row r="322" spans="9:19">
      <c r="I322" s="15">
        <f t="shared" si="53"/>
        <v>318</v>
      </c>
      <c r="J322" s="16">
        <f t="shared" ca="1" si="54"/>
        <v>141.87593739479649</v>
      </c>
      <c r="K322" s="16">
        <f t="shared" ca="1" si="44"/>
        <v>128.12406260520351</v>
      </c>
      <c r="L322" s="16">
        <f t="shared" ca="1" si="45"/>
        <v>141.87593739479649</v>
      </c>
      <c r="M322" s="17">
        <f t="shared" ca="1" si="46"/>
        <v>640.62031302601758</v>
      </c>
      <c r="N322" s="17">
        <f t="shared" si="47"/>
        <v>20</v>
      </c>
      <c r="O322" s="17">
        <f t="shared" si="48"/>
        <v>-810</v>
      </c>
      <c r="P322" s="18">
        <f t="shared" ca="1" si="49"/>
        <v>-70.937968697398247</v>
      </c>
      <c r="Q322" s="18">
        <f t="shared" ca="1" si="50"/>
        <v>212.81390609219474</v>
      </c>
      <c r="R322" s="19">
        <f t="shared" ca="1" si="51"/>
        <v>-7.5037495791859214</v>
      </c>
      <c r="S322" s="15">
        <f t="shared" ca="1" si="52"/>
        <v>1</v>
      </c>
    </row>
    <row r="323" spans="9:19">
      <c r="I323" s="15">
        <f t="shared" si="53"/>
        <v>319</v>
      </c>
      <c r="J323" s="16">
        <f t="shared" ca="1" si="54"/>
        <v>292.95179483796375</v>
      </c>
      <c r="K323" s="16">
        <f t="shared" ca="1" si="44"/>
        <v>270</v>
      </c>
      <c r="L323" s="16">
        <f t="shared" ca="1" si="45"/>
        <v>0</v>
      </c>
      <c r="M323" s="17">
        <f t="shared" ca="1" si="46"/>
        <v>1350</v>
      </c>
      <c r="N323" s="17">
        <f t="shared" si="47"/>
        <v>20</v>
      </c>
      <c r="O323" s="17">
        <f t="shared" si="48"/>
        <v>-810</v>
      </c>
      <c r="P323" s="18">
        <f t="shared" ca="1" si="49"/>
        <v>0</v>
      </c>
      <c r="Q323" s="18">
        <f t="shared" ca="1" si="50"/>
        <v>0</v>
      </c>
      <c r="R323" s="19">
        <f t="shared" ca="1" si="51"/>
        <v>560</v>
      </c>
      <c r="S323" s="15">
        <f t="shared" ca="1" si="52"/>
        <v>0</v>
      </c>
    </row>
    <row r="324" spans="9:19">
      <c r="I324" s="15">
        <f t="shared" si="53"/>
        <v>320</v>
      </c>
      <c r="J324" s="16">
        <f t="shared" ca="1" si="54"/>
        <v>375.03197704717917</v>
      </c>
      <c r="K324" s="16">
        <f t="shared" ca="1" si="44"/>
        <v>270</v>
      </c>
      <c r="L324" s="16">
        <f t="shared" ca="1" si="45"/>
        <v>0</v>
      </c>
      <c r="M324" s="17">
        <f t="shared" ca="1" si="46"/>
        <v>1350</v>
      </c>
      <c r="N324" s="17">
        <f t="shared" si="47"/>
        <v>20</v>
      </c>
      <c r="O324" s="17">
        <f t="shared" si="48"/>
        <v>-810</v>
      </c>
      <c r="P324" s="18">
        <f t="shared" ca="1" si="49"/>
        <v>0</v>
      </c>
      <c r="Q324" s="18">
        <f t="shared" ca="1" si="50"/>
        <v>0</v>
      </c>
      <c r="R324" s="19">
        <f t="shared" ca="1" si="51"/>
        <v>560</v>
      </c>
      <c r="S324" s="15">
        <f t="shared" ca="1" si="52"/>
        <v>0</v>
      </c>
    </row>
    <row r="325" spans="9:19">
      <c r="I325" s="15">
        <f t="shared" si="53"/>
        <v>321</v>
      </c>
      <c r="J325" s="16">
        <f t="shared" ca="1" si="54"/>
        <v>384.9791210092738</v>
      </c>
      <c r="K325" s="16">
        <f t="shared" ca="1" si="44"/>
        <v>270</v>
      </c>
      <c r="L325" s="16">
        <f t="shared" ca="1" si="45"/>
        <v>0</v>
      </c>
      <c r="M325" s="17">
        <f t="shared" ca="1" si="46"/>
        <v>1350</v>
      </c>
      <c r="N325" s="17">
        <f t="shared" si="47"/>
        <v>20</v>
      </c>
      <c r="O325" s="17">
        <f t="shared" si="48"/>
        <v>-810</v>
      </c>
      <c r="P325" s="18">
        <f t="shared" ca="1" si="49"/>
        <v>0</v>
      </c>
      <c r="Q325" s="18">
        <f t="shared" ca="1" si="50"/>
        <v>0</v>
      </c>
      <c r="R325" s="19">
        <f t="shared" ca="1" si="51"/>
        <v>560</v>
      </c>
      <c r="S325" s="15">
        <f t="shared" ca="1" si="52"/>
        <v>0</v>
      </c>
    </row>
    <row r="326" spans="9:19">
      <c r="I326" s="15">
        <f t="shared" si="53"/>
        <v>322</v>
      </c>
      <c r="J326" s="16">
        <f t="shared" ca="1" si="54"/>
        <v>209.19530777144709</v>
      </c>
      <c r="K326" s="16">
        <f t="shared" ref="K326:K389" ca="1" si="55">IF(J326&gt;=$D$18,$D$18,$D$18-J326)</f>
        <v>60.804692228552909</v>
      </c>
      <c r="L326" s="16">
        <f t="shared" ref="L326:L389" ca="1" si="56">$D$18-K326</f>
        <v>209.19530777144709</v>
      </c>
      <c r="M326" s="17">
        <f t="shared" ref="M326:M389" ca="1" si="57">K326*5</f>
        <v>304.02346114276452</v>
      </c>
      <c r="N326" s="17">
        <f t="shared" ref="N326:N389" si="58">$D$10</f>
        <v>20</v>
      </c>
      <c r="O326" s="17">
        <f t="shared" ref="O326:O389" si="59">-$D$6*$D$18</f>
        <v>-810</v>
      </c>
      <c r="P326" s="18">
        <f t="shared" ref="P326:P389" ca="1" si="60">-L326*$D$9</f>
        <v>-104.59765388572355</v>
      </c>
      <c r="Q326" s="18">
        <f t="shared" ref="Q326:Q389" ca="1" si="61">L326*($D$6*$D$8)</f>
        <v>313.79296165717062</v>
      </c>
      <c r="R326" s="19">
        <f t="shared" ref="R326:R389" ca="1" si="62">SUM(M326:Q326)</f>
        <v>-276.78123108578836</v>
      </c>
      <c r="S326" s="15">
        <f t="shared" ref="S326:S389" ca="1" si="63">IF(R326&lt;0,1,0)</f>
        <v>1</v>
      </c>
    </row>
    <row r="327" spans="9:19">
      <c r="I327" s="15">
        <f t="shared" ref="I327:I390" si="64">I326+1</f>
        <v>323</v>
      </c>
      <c r="J327" s="16">
        <f t="shared" ref="J327:J390" ca="1" si="65">RAND()*($E$3-$D$3)+$D$3</f>
        <v>242.62221850955353</v>
      </c>
      <c r="K327" s="16">
        <f t="shared" ca="1" si="55"/>
        <v>27.377781490446466</v>
      </c>
      <c r="L327" s="16">
        <f t="shared" ca="1" si="56"/>
        <v>242.62221850955353</v>
      </c>
      <c r="M327" s="17">
        <f t="shared" ca="1" si="57"/>
        <v>136.88890745223233</v>
      </c>
      <c r="N327" s="17">
        <f t="shared" si="58"/>
        <v>20</v>
      </c>
      <c r="O327" s="17">
        <f t="shared" si="59"/>
        <v>-810</v>
      </c>
      <c r="P327" s="18">
        <f t="shared" ca="1" si="60"/>
        <v>-121.31110925477677</v>
      </c>
      <c r="Q327" s="18">
        <f t="shared" ca="1" si="61"/>
        <v>363.93332776433033</v>
      </c>
      <c r="R327" s="19">
        <f t="shared" ca="1" si="62"/>
        <v>-410.48887403821402</v>
      </c>
      <c r="S327" s="15">
        <f t="shared" ca="1" si="63"/>
        <v>1</v>
      </c>
    </row>
    <row r="328" spans="9:19">
      <c r="I328" s="15">
        <f t="shared" si="64"/>
        <v>324</v>
      </c>
      <c r="J328" s="16">
        <f t="shared" ca="1" si="65"/>
        <v>397.49463162943351</v>
      </c>
      <c r="K328" s="16">
        <f t="shared" ca="1" si="55"/>
        <v>270</v>
      </c>
      <c r="L328" s="16">
        <f t="shared" ca="1" si="56"/>
        <v>0</v>
      </c>
      <c r="M328" s="17">
        <f t="shared" ca="1" si="57"/>
        <v>1350</v>
      </c>
      <c r="N328" s="17">
        <f t="shared" si="58"/>
        <v>20</v>
      </c>
      <c r="O328" s="17">
        <f t="shared" si="59"/>
        <v>-810</v>
      </c>
      <c r="P328" s="18">
        <f t="shared" ca="1" si="60"/>
        <v>0</v>
      </c>
      <c r="Q328" s="18">
        <f t="shared" ca="1" si="61"/>
        <v>0</v>
      </c>
      <c r="R328" s="19">
        <f t="shared" ca="1" si="62"/>
        <v>560</v>
      </c>
      <c r="S328" s="15">
        <f t="shared" ca="1" si="63"/>
        <v>0</v>
      </c>
    </row>
    <row r="329" spans="9:19">
      <c r="I329" s="15">
        <f t="shared" si="64"/>
        <v>325</v>
      </c>
      <c r="J329" s="16">
        <f t="shared" ca="1" si="65"/>
        <v>251.49395296847786</v>
      </c>
      <c r="K329" s="16">
        <f t="shared" ca="1" si="55"/>
        <v>18.506047031522144</v>
      </c>
      <c r="L329" s="16">
        <f t="shared" ca="1" si="56"/>
        <v>251.49395296847786</v>
      </c>
      <c r="M329" s="17">
        <f t="shared" ca="1" si="57"/>
        <v>92.530235157610718</v>
      </c>
      <c r="N329" s="17">
        <f t="shared" si="58"/>
        <v>20</v>
      </c>
      <c r="O329" s="17">
        <f t="shared" si="59"/>
        <v>-810</v>
      </c>
      <c r="P329" s="18">
        <f t="shared" ca="1" si="60"/>
        <v>-125.74697648423893</v>
      </c>
      <c r="Q329" s="18">
        <f t="shared" ca="1" si="61"/>
        <v>377.24092945271678</v>
      </c>
      <c r="R329" s="19">
        <f t="shared" ca="1" si="62"/>
        <v>-445.97581187391137</v>
      </c>
      <c r="S329" s="15">
        <f t="shared" ca="1" si="63"/>
        <v>1</v>
      </c>
    </row>
    <row r="330" spans="9:19">
      <c r="I330" s="15">
        <f t="shared" si="64"/>
        <v>326</v>
      </c>
      <c r="J330" s="16">
        <f t="shared" ca="1" si="65"/>
        <v>331.84955950610453</v>
      </c>
      <c r="K330" s="16">
        <f t="shared" ca="1" si="55"/>
        <v>270</v>
      </c>
      <c r="L330" s="16">
        <f t="shared" ca="1" si="56"/>
        <v>0</v>
      </c>
      <c r="M330" s="17">
        <f t="shared" ca="1" si="57"/>
        <v>1350</v>
      </c>
      <c r="N330" s="17">
        <f t="shared" si="58"/>
        <v>20</v>
      </c>
      <c r="O330" s="17">
        <f t="shared" si="59"/>
        <v>-810</v>
      </c>
      <c r="P330" s="18">
        <f t="shared" ca="1" si="60"/>
        <v>0</v>
      </c>
      <c r="Q330" s="18">
        <f t="shared" ca="1" si="61"/>
        <v>0</v>
      </c>
      <c r="R330" s="19">
        <f t="shared" ca="1" si="62"/>
        <v>560</v>
      </c>
      <c r="S330" s="15">
        <f t="shared" ca="1" si="63"/>
        <v>0</v>
      </c>
    </row>
    <row r="331" spans="9:19">
      <c r="I331" s="15">
        <f t="shared" si="64"/>
        <v>327</v>
      </c>
      <c r="J331" s="16">
        <f t="shared" ca="1" si="65"/>
        <v>343.04665879059962</v>
      </c>
      <c r="K331" s="16">
        <f t="shared" ca="1" si="55"/>
        <v>270</v>
      </c>
      <c r="L331" s="16">
        <f t="shared" ca="1" si="56"/>
        <v>0</v>
      </c>
      <c r="M331" s="17">
        <f t="shared" ca="1" si="57"/>
        <v>1350</v>
      </c>
      <c r="N331" s="17">
        <f t="shared" si="58"/>
        <v>20</v>
      </c>
      <c r="O331" s="17">
        <f t="shared" si="59"/>
        <v>-810</v>
      </c>
      <c r="P331" s="18">
        <f t="shared" ca="1" si="60"/>
        <v>0</v>
      </c>
      <c r="Q331" s="18">
        <f t="shared" ca="1" si="61"/>
        <v>0</v>
      </c>
      <c r="R331" s="19">
        <f t="shared" ca="1" si="62"/>
        <v>560</v>
      </c>
      <c r="S331" s="15">
        <f t="shared" ca="1" si="63"/>
        <v>0</v>
      </c>
    </row>
    <row r="332" spans="9:19">
      <c r="I332" s="15">
        <f t="shared" si="64"/>
        <v>328</v>
      </c>
      <c r="J332" s="16">
        <f t="shared" ca="1" si="65"/>
        <v>265.34025727572254</v>
      </c>
      <c r="K332" s="16">
        <f t="shared" ca="1" si="55"/>
        <v>4.6597427242774643</v>
      </c>
      <c r="L332" s="16">
        <f t="shared" ca="1" si="56"/>
        <v>265.34025727572254</v>
      </c>
      <c r="M332" s="17">
        <f t="shared" ca="1" si="57"/>
        <v>23.298713621387321</v>
      </c>
      <c r="N332" s="17">
        <f t="shared" si="58"/>
        <v>20</v>
      </c>
      <c r="O332" s="17">
        <f t="shared" si="59"/>
        <v>-810</v>
      </c>
      <c r="P332" s="18">
        <f t="shared" ca="1" si="60"/>
        <v>-132.67012863786127</v>
      </c>
      <c r="Q332" s="18">
        <f t="shared" ca="1" si="61"/>
        <v>398.01038591358383</v>
      </c>
      <c r="R332" s="19">
        <f t="shared" ca="1" si="62"/>
        <v>-501.36102910289003</v>
      </c>
      <c r="S332" s="15">
        <f t="shared" ca="1" si="63"/>
        <v>1</v>
      </c>
    </row>
    <row r="333" spans="9:19">
      <c r="I333" s="15">
        <f t="shared" si="64"/>
        <v>329</v>
      </c>
      <c r="J333" s="16">
        <f t="shared" ca="1" si="65"/>
        <v>204.09696717985349</v>
      </c>
      <c r="K333" s="16">
        <f t="shared" ca="1" si="55"/>
        <v>65.903032820146507</v>
      </c>
      <c r="L333" s="16">
        <f t="shared" ca="1" si="56"/>
        <v>204.09696717985349</v>
      </c>
      <c r="M333" s="17">
        <f t="shared" ca="1" si="57"/>
        <v>329.51516410073253</v>
      </c>
      <c r="N333" s="17">
        <f t="shared" si="58"/>
        <v>20</v>
      </c>
      <c r="O333" s="17">
        <f t="shared" si="59"/>
        <v>-810</v>
      </c>
      <c r="P333" s="18">
        <f t="shared" ca="1" si="60"/>
        <v>-102.04848358992675</v>
      </c>
      <c r="Q333" s="18">
        <f t="shared" ca="1" si="61"/>
        <v>306.14545076978027</v>
      </c>
      <c r="R333" s="19">
        <f t="shared" ca="1" si="62"/>
        <v>-256.38786871941397</v>
      </c>
      <c r="S333" s="15">
        <f t="shared" ca="1" si="63"/>
        <v>1</v>
      </c>
    </row>
    <row r="334" spans="9:19">
      <c r="I334" s="15">
        <f t="shared" si="64"/>
        <v>330</v>
      </c>
      <c r="J334" s="16">
        <f t="shared" ca="1" si="65"/>
        <v>386.98715418644838</v>
      </c>
      <c r="K334" s="16">
        <f t="shared" ca="1" si="55"/>
        <v>270</v>
      </c>
      <c r="L334" s="16">
        <f t="shared" ca="1" si="56"/>
        <v>0</v>
      </c>
      <c r="M334" s="17">
        <f t="shared" ca="1" si="57"/>
        <v>1350</v>
      </c>
      <c r="N334" s="17">
        <f t="shared" si="58"/>
        <v>20</v>
      </c>
      <c r="O334" s="17">
        <f t="shared" si="59"/>
        <v>-810</v>
      </c>
      <c r="P334" s="18">
        <f t="shared" ca="1" si="60"/>
        <v>0</v>
      </c>
      <c r="Q334" s="18">
        <f t="shared" ca="1" si="61"/>
        <v>0</v>
      </c>
      <c r="R334" s="19">
        <f t="shared" ca="1" si="62"/>
        <v>560</v>
      </c>
      <c r="S334" s="15">
        <f t="shared" ca="1" si="63"/>
        <v>0</v>
      </c>
    </row>
    <row r="335" spans="9:19">
      <c r="I335" s="15">
        <f t="shared" si="64"/>
        <v>331</v>
      </c>
      <c r="J335" s="16">
        <f t="shared" ca="1" si="65"/>
        <v>291.56177452258936</v>
      </c>
      <c r="K335" s="16">
        <f t="shared" ca="1" si="55"/>
        <v>270</v>
      </c>
      <c r="L335" s="16">
        <f t="shared" ca="1" si="56"/>
        <v>0</v>
      </c>
      <c r="M335" s="17">
        <f t="shared" ca="1" si="57"/>
        <v>1350</v>
      </c>
      <c r="N335" s="17">
        <f t="shared" si="58"/>
        <v>20</v>
      </c>
      <c r="O335" s="17">
        <f t="shared" si="59"/>
        <v>-810</v>
      </c>
      <c r="P335" s="18">
        <f t="shared" ca="1" si="60"/>
        <v>0</v>
      </c>
      <c r="Q335" s="18">
        <f t="shared" ca="1" si="61"/>
        <v>0</v>
      </c>
      <c r="R335" s="19">
        <f t="shared" ca="1" si="62"/>
        <v>560</v>
      </c>
      <c r="S335" s="15">
        <f t="shared" ca="1" si="63"/>
        <v>0</v>
      </c>
    </row>
    <row r="336" spans="9:19">
      <c r="I336" s="15">
        <f t="shared" si="64"/>
        <v>332</v>
      </c>
      <c r="J336" s="16">
        <f t="shared" ca="1" si="65"/>
        <v>376.72964693847365</v>
      </c>
      <c r="K336" s="16">
        <f t="shared" ca="1" si="55"/>
        <v>270</v>
      </c>
      <c r="L336" s="16">
        <f t="shared" ca="1" si="56"/>
        <v>0</v>
      </c>
      <c r="M336" s="17">
        <f t="shared" ca="1" si="57"/>
        <v>1350</v>
      </c>
      <c r="N336" s="17">
        <f t="shared" si="58"/>
        <v>20</v>
      </c>
      <c r="O336" s="17">
        <f t="shared" si="59"/>
        <v>-810</v>
      </c>
      <c r="P336" s="18">
        <f t="shared" ca="1" si="60"/>
        <v>0</v>
      </c>
      <c r="Q336" s="18">
        <f t="shared" ca="1" si="61"/>
        <v>0</v>
      </c>
      <c r="R336" s="19">
        <f t="shared" ca="1" si="62"/>
        <v>560</v>
      </c>
      <c r="S336" s="15">
        <f t="shared" ca="1" si="63"/>
        <v>0</v>
      </c>
    </row>
    <row r="337" spans="9:19">
      <c r="I337" s="15">
        <f t="shared" si="64"/>
        <v>333</v>
      </c>
      <c r="J337" s="16">
        <f t="shared" ca="1" si="65"/>
        <v>125.48902862628749</v>
      </c>
      <c r="K337" s="16">
        <f t="shared" ca="1" si="55"/>
        <v>144.51097137371249</v>
      </c>
      <c r="L337" s="16">
        <f t="shared" ca="1" si="56"/>
        <v>125.48902862628751</v>
      </c>
      <c r="M337" s="17">
        <f t="shared" ca="1" si="57"/>
        <v>722.55485686856241</v>
      </c>
      <c r="N337" s="17">
        <f t="shared" si="58"/>
        <v>20</v>
      </c>
      <c r="O337" s="17">
        <f t="shared" si="59"/>
        <v>-810</v>
      </c>
      <c r="P337" s="18">
        <f t="shared" ca="1" si="60"/>
        <v>-62.744514313143753</v>
      </c>
      <c r="Q337" s="18">
        <f t="shared" ca="1" si="61"/>
        <v>188.23354293943126</v>
      </c>
      <c r="R337" s="19">
        <f t="shared" ca="1" si="62"/>
        <v>58.043885494849917</v>
      </c>
      <c r="S337" s="15">
        <f t="shared" ca="1" si="63"/>
        <v>0</v>
      </c>
    </row>
    <row r="338" spans="9:19">
      <c r="I338" s="15">
        <f t="shared" si="64"/>
        <v>334</v>
      </c>
      <c r="J338" s="16">
        <f t="shared" ca="1" si="65"/>
        <v>329.21522935959217</v>
      </c>
      <c r="K338" s="16">
        <f t="shared" ca="1" si="55"/>
        <v>270</v>
      </c>
      <c r="L338" s="16">
        <f t="shared" ca="1" si="56"/>
        <v>0</v>
      </c>
      <c r="M338" s="17">
        <f t="shared" ca="1" si="57"/>
        <v>1350</v>
      </c>
      <c r="N338" s="17">
        <f t="shared" si="58"/>
        <v>20</v>
      </c>
      <c r="O338" s="17">
        <f t="shared" si="59"/>
        <v>-810</v>
      </c>
      <c r="P338" s="18">
        <f t="shared" ca="1" si="60"/>
        <v>0</v>
      </c>
      <c r="Q338" s="18">
        <f t="shared" ca="1" si="61"/>
        <v>0</v>
      </c>
      <c r="R338" s="19">
        <f t="shared" ca="1" si="62"/>
        <v>560</v>
      </c>
      <c r="S338" s="15">
        <f t="shared" ca="1" si="63"/>
        <v>0</v>
      </c>
    </row>
    <row r="339" spans="9:19">
      <c r="I339" s="15">
        <f t="shared" si="64"/>
        <v>335</v>
      </c>
      <c r="J339" s="16">
        <f t="shared" ca="1" si="65"/>
        <v>416.92627464334709</v>
      </c>
      <c r="K339" s="16">
        <f t="shared" ca="1" si="55"/>
        <v>270</v>
      </c>
      <c r="L339" s="16">
        <f t="shared" ca="1" si="56"/>
        <v>0</v>
      </c>
      <c r="M339" s="17">
        <f t="shared" ca="1" si="57"/>
        <v>1350</v>
      </c>
      <c r="N339" s="17">
        <f t="shared" si="58"/>
        <v>20</v>
      </c>
      <c r="O339" s="17">
        <f t="shared" si="59"/>
        <v>-810</v>
      </c>
      <c r="P339" s="18">
        <f t="shared" ca="1" si="60"/>
        <v>0</v>
      </c>
      <c r="Q339" s="18">
        <f t="shared" ca="1" si="61"/>
        <v>0</v>
      </c>
      <c r="R339" s="19">
        <f t="shared" ca="1" si="62"/>
        <v>560</v>
      </c>
      <c r="S339" s="15">
        <f t="shared" ca="1" si="63"/>
        <v>0</v>
      </c>
    </row>
    <row r="340" spans="9:19">
      <c r="I340" s="15">
        <f t="shared" si="64"/>
        <v>336</v>
      </c>
      <c r="J340" s="16">
        <f t="shared" ca="1" si="65"/>
        <v>336.69817986754913</v>
      </c>
      <c r="K340" s="16">
        <f t="shared" ca="1" si="55"/>
        <v>270</v>
      </c>
      <c r="L340" s="16">
        <f t="shared" ca="1" si="56"/>
        <v>0</v>
      </c>
      <c r="M340" s="17">
        <f t="shared" ca="1" si="57"/>
        <v>1350</v>
      </c>
      <c r="N340" s="17">
        <f t="shared" si="58"/>
        <v>20</v>
      </c>
      <c r="O340" s="17">
        <f t="shared" si="59"/>
        <v>-810</v>
      </c>
      <c r="P340" s="18">
        <f t="shared" ca="1" si="60"/>
        <v>0</v>
      </c>
      <c r="Q340" s="18">
        <f t="shared" ca="1" si="61"/>
        <v>0</v>
      </c>
      <c r="R340" s="19">
        <f t="shared" ca="1" si="62"/>
        <v>560</v>
      </c>
      <c r="S340" s="15">
        <f t="shared" ca="1" si="63"/>
        <v>0</v>
      </c>
    </row>
    <row r="341" spans="9:19">
      <c r="I341" s="15">
        <f t="shared" si="64"/>
        <v>337</v>
      </c>
      <c r="J341" s="16">
        <f t="shared" ca="1" si="65"/>
        <v>285.60645372699344</v>
      </c>
      <c r="K341" s="16">
        <f t="shared" ca="1" si="55"/>
        <v>270</v>
      </c>
      <c r="L341" s="16">
        <f t="shared" ca="1" si="56"/>
        <v>0</v>
      </c>
      <c r="M341" s="17">
        <f t="shared" ca="1" si="57"/>
        <v>1350</v>
      </c>
      <c r="N341" s="17">
        <f t="shared" si="58"/>
        <v>20</v>
      </c>
      <c r="O341" s="17">
        <f t="shared" si="59"/>
        <v>-810</v>
      </c>
      <c r="P341" s="18">
        <f t="shared" ca="1" si="60"/>
        <v>0</v>
      </c>
      <c r="Q341" s="18">
        <f t="shared" ca="1" si="61"/>
        <v>0</v>
      </c>
      <c r="R341" s="19">
        <f t="shared" ca="1" si="62"/>
        <v>560</v>
      </c>
      <c r="S341" s="15">
        <f t="shared" ca="1" si="63"/>
        <v>0</v>
      </c>
    </row>
    <row r="342" spans="9:19">
      <c r="I342" s="15">
        <f t="shared" si="64"/>
        <v>338</v>
      </c>
      <c r="J342" s="16">
        <f t="shared" ca="1" si="65"/>
        <v>411.3678502411131</v>
      </c>
      <c r="K342" s="16">
        <f t="shared" ca="1" si="55"/>
        <v>270</v>
      </c>
      <c r="L342" s="16">
        <f t="shared" ca="1" si="56"/>
        <v>0</v>
      </c>
      <c r="M342" s="17">
        <f t="shared" ca="1" si="57"/>
        <v>1350</v>
      </c>
      <c r="N342" s="17">
        <f t="shared" si="58"/>
        <v>20</v>
      </c>
      <c r="O342" s="17">
        <f t="shared" si="59"/>
        <v>-810</v>
      </c>
      <c r="P342" s="18">
        <f t="shared" ca="1" si="60"/>
        <v>0</v>
      </c>
      <c r="Q342" s="18">
        <f t="shared" ca="1" si="61"/>
        <v>0</v>
      </c>
      <c r="R342" s="19">
        <f t="shared" ca="1" si="62"/>
        <v>560</v>
      </c>
      <c r="S342" s="15">
        <f t="shared" ca="1" si="63"/>
        <v>0</v>
      </c>
    </row>
    <row r="343" spans="9:19">
      <c r="I343" s="15">
        <f t="shared" si="64"/>
        <v>339</v>
      </c>
      <c r="J343" s="16">
        <f t="shared" ca="1" si="65"/>
        <v>219.89793019231303</v>
      </c>
      <c r="K343" s="16">
        <f t="shared" ca="1" si="55"/>
        <v>50.102069807686973</v>
      </c>
      <c r="L343" s="16">
        <f t="shared" ca="1" si="56"/>
        <v>219.89793019231303</v>
      </c>
      <c r="M343" s="17">
        <f t="shared" ca="1" si="57"/>
        <v>250.51034903843487</v>
      </c>
      <c r="N343" s="17">
        <f t="shared" si="58"/>
        <v>20</v>
      </c>
      <c r="O343" s="17">
        <f t="shared" si="59"/>
        <v>-810</v>
      </c>
      <c r="P343" s="18">
        <f t="shared" ca="1" si="60"/>
        <v>-109.94896509615651</v>
      </c>
      <c r="Q343" s="18">
        <f t="shared" ca="1" si="61"/>
        <v>329.84689528846957</v>
      </c>
      <c r="R343" s="19">
        <f t="shared" ca="1" si="62"/>
        <v>-319.59172076925199</v>
      </c>
      <c r="S343" s="15">
        <f t="shared" ca="1" si="63"/>
        <v>1</v>
      </c>
    </row>
    <row r="344" spans="9:19">
      <c r="I344" s="15">
        <f t="shared" si="64"/>
        <v>340</v>
      </c>
      <c r="J344" s="16">
        <f t="shared" ca="1" si="65"/>
        <v>128.50542649029023</v>
      </c>
      <c r="K344" s="16">
        <f t="shared" ca="1" si="55"/>
        <v>141.49457350970977</v>
      </c>
      <c r="L344" s="16">
        <f t="shared" ca="1" si="56"/>
        <v>128.50542649029023</v>
      </c>
      <c r="M344" s="17">
        <f t="shared" ca="1" si="57"/>
        <v>707.47286754854883</v>
      </c>
      <c r="N344" s="17">
        <f t="shared" si="58"/>
        <v>20</v>
      </c>
      <c r="O344" s="17">
        <f t="shared" si="59"/>
        <v>-810</v>
      </c>
      <c r="P344" s="18">
        <f t="shared" ca="1" si="60"/>
        <v>-64.252713245145117</v>
      </c>
      <c r="Q344" s="18">
        <f t="shared" ca="1" si="61"/>
        <v>192.75813973543535</v>
      </c>
      <c r="R344" s="19">
        <f t="shared" ca="1" si="62"/>
        <v>45.978294038839067</v>
      </c>
      <c r="S344" s="15">
        <f t="shared" ca="1" si="63"/>
        <v>0</v>
      </c>
    </row>
    <row r="345" spans="9:19">
      <c r="I345" s="15">
        <f t="shared" si="64"/>
        <v>341</v>
      </c>
      <c r="J345" s="16">
        <f t="shared" ca="1" si="65"/>
        <v>307.65561092320388</v>
      </c>
      <c r="K345" s="16">
        <f t="shared" ca="1" si="55"/>
        <v>270</v>
      </c>
      <c r="L345" s="16">
        <f t="shared" ca="1" si="56"/>
        <v>0</v>
      </c>
      <c r="M345" s="17">
        <f t="shared" ca="1" si="57"/>
        <v>1350</v>
      </c>
      <c r="N345" s="17">
        <f t="shared" si="58"/>
        <v>20</v>
      </c>
      <c r="O345" s="17">
        <f t="shared" si="59"/>
        <v>-810</v>
      </c>
      <c r="P345" s="18">
        <f t="shared" ca="1" si="60"/>
        <v>0</v>
      </c>
      <c r="Q345" s="18">
        <f t="shared" ca="1" si="61"/>
        <v>0</v>
      </c>
      <c r="R345" s="19">
        <f t="shared" ca="1" si="62"/>
        <v>560</v>
      </c>
      <c r="S345" s="15">
        <f t="shared" ca="1" si="63"/>
        <v>0</v>
      </c>
    </row>
    <row r="346" spans="9:19">
      <c r="I346" s="15">
        <f t="shared" si="64"/>
        <v>342</v>
      </c>
      <c r="J346" s="16">
        <f t="shared" ca="1" si="65"/>
        <v>229.60146209981986</v>
      </c>
      <c r="K346" s="16">
        <f t="shared" ca="1" si="55"/>
        <v>40.398537900180145</v>
      </c>
      <c r="L346" s="16">
        <f t="shared" ca="1" si="56"/>
        <v>229.60146209981986</v>
      </c>
      <c r="M346" s="17">
        <f t="shared" ca="1" si="57"/>
        <v>201.99268950090072</v>
      </c>
      <c r="N346" s="17">
        <f t="shared" si="58"/>
        <v>20</v>
      </c>
      <c r="O346" s="17">
        <f t="shared" si="59"/>
        <v>-810</v>
      </c>
      <c r="P346" s="18">
        <f t="shared" ca="1" si="60"/>
        <v>-114.80073104990993</v>
      </c>
      <c r="Q346" s="18">
        <f t="shared" ca="1" si="61"/>
        <v>344.40219314972978</v>
      </c>
      <c r="R346" s="19">
        <f t="shared" ca="1" si="62"/>
        <v>-358.40584839927942</v>
      </c>
      <c r="S346" s="15">
        <f t="shared" ca="1" si="63"/>
        <v>1</v>
      </c>
    </row>
    <row r="347" spans="9:19">
      <c r="I347" s="15">
        <f t="shared" si="64"/>
        <v>343</v>
      </c>
      <c r="J347" s="16">
        <f t="shared" ca="1" si="65"/>
        <v>285.78179999183277</v>
      </c>
      <c r="K347" s="16">
        <f t="shared" ca="1" si="55"/>
        <v>270</v>
      </c>
      <c r="L347" s="16">
        <f t="shared" ca="1" si="56"/>
        <v>0</v>
      </c>
      <c r="M347" s="17">
        <f t="shared" ca="1" si="57"/>
        <v>1350</v>
      </c>
      <c r="N347" s="17">
        <f t="shared" si="58"/>
        <v>20</v>
      </c>
      <c r="O347" s="17">
        <f t="shared" si="59"/>
        <v>-810</v>
      </c>
      <c r="P347" s="18">
        <f t="shared" ca="1" si="60"/>
        <v>0</v>
      </c>
      <c r="Q347" s="18">
        <f t="shared" ca="1" si="61"/>
        <v>0</v>
      </c>
      <c r="R347" s="19">
        <f t="shared" ca="1" si="62"/>
        <v>560</v>
      </c>
      <c r="S347" s="15">
        <f t="shared" ca="1" si="63"/>
        <v>0</v>
      </c>
    </row>
    <row r="348" spans="9:19">
      <c r="I348" s="15">
        <f t="shared" si="64"/>
        <v>344</v>
      </c>
      <c r="J348" s="16">
        <f t="shared" ca="1" si="65"/>
        <v>262.378561618709</v>
      </c>
      <c r="K348" s="16">
        <f t="shared" ca="1" si="55"/>
        <v>7.621438381291</v>
      </c>
      <c r="L348" s="16">
        <f t="shared" ca="1" si="56"/>
        <v>262.378561618709</v>
      </c>
      <c r="M348" s="17">
        <f t="shared" ca="1" si="57"/>
        <v>38.107191906455</v>
      </c>
      <c r="N348" s="17">
        <f t="shared" si="58"/>
        <v>20</v>
      </c>
      <c r="O348" s="17">
        <f t="shared" si="59"/>
        <v>-810</v>
      </c>
      <c r="P348" s="18">
        <f t="shared" ca="1" si="60"/>
        <v>-131.1892808093545</v>
      </c>
      <c r="Q348" s="18">
        <f t="shared" ca="1" si="61"/>
        <v>393.5678424280635</v>
      </c>
      <c r="R348" s="19">
        <f t="shared" ca="1" si="62"/>
        <v>-489.514246474836</v>
      </c>
      <c r="S348" s="15">
        <f t="shared" ca="1" si="63"/>
        <v>1</v>
      </c>
    </row>
    <row r="349" spans="9:19">
      <c r="I349" s="15">
        <f t="shared" si="64"/>
        <v>345</v>
      </c>
      <c r="J349" s="16">
        <f t="shared" ca="1" si="65"/>
        <v>211.46552558110798</v>
      </c>
      <c r="K349" s="16">
        <f t="shared" ca="1" si="55"/>
        <v>58.534474418892017</v>
      </c>
      <c r="L349" s="16">
        <f t="shared" ca="1" si="56"/>
        <v>211.46552558110798</v>
      </c>
      <c r="M349" s="17">
        <f t="shared" ca="1" si="57"/>
        <v>292.67237209446012</v>
      </c>
      <c r="N349" s="17">
        <f t="shared" si="58"/>
        <v>20</v>
      </c>
      <c r="O349" s="17">
        <f t="shared" si="59"/>
        <v>-810</v>
      </c>
      <c r="P349" s="18">
        <f t="shared" ca="1" si="60"/>
        <v>-105.73276279055399</v>
      </c>
      <c r="Q349" s="18">
        <f t="shared" ca="1" si="61"/>
        <v>317.19828837166199</v>
      </c>
      <c r="R349" s="19">
        <f t="shared" ca="1" si="62"/>
        <v>-285.86210232443193</v>
      </c>
      <c r="S349" s="15">
        <f t="shared" ca="1" si="63"/>
        <v>1</v>
      </c>
    </row>
    <row r="350" spans="9:19">
      <c r="I350" s="15">
        <f t="shared" si="64"/>
        <v>346</v>
      </c>
      <c r="J350" s="16">
        <f t="shared" ca="1" si="65"/>
        <v>272.12268764419048</v>
      </c>
      <c r="K350" s="16">
        <f t="shared" ca="1" si="55"/>
        <v>270</v>
      </c>
      <c r="L350" s="16">
        <f t="shared" ca="1" si="56"/>
        <v>0</v>
      </c>
      <c r="M350" s="17">
        <f t="shared" ca="1" si="57"/>
        <v>1350</v>
      </c>
      <c r="N350" s="17">
        <f t="shared" si="58"/>
        <v>20</v>
      </c>
      <c r="O350" s="17">
        <f t="shared" si="59"/>
        <v>-810</v>
      </c>
      <c r="P350" s="18">
        <f t="shared" ca="1" si="60"/>
        <v>0</v>
      </c>
      <c r="Q350" s="18">
        <f t="shared" ca="1" si="61"/>
        <v>0</v>
      </c>
      <c r="R350" s="19">
        <f t="shared" ca="1" si="62"/>
        <v>560</v>
      </c>
      <c r="S350" s="15">
        <f t="shared" ca="1" si="63"/>
        <v>0</v>
      </c>
    </row>
    <row r="351" spans="9:19">
      <c r="I351" s="15">
        <f t="shared" si="64"/>
        <v>347</v>
      </c>
      <c r="J351" s="16">
        <f t="shared" ca="1" si="65"/>
        <v>227.30584520532034</v>
      </c>
      <c r="K351" s="16">
        <f t="shared" ca="1" si="55"/>
        <v>42.694154794679662</v>
      </c>
      <c r="L351" s="16">
        <f t="shared" ca="1" si="56"/>
        <v>227.30584520532034</v>
      </c>
      <c r="M351" s="17">
        <f t="shared" ca="1" si="57"/>
        <v>213.47077397339831</v>
      </c>
      <c r="N351" s="17">
        <f t="shared" si="58"/>
        <v>20</v>
      </c>
      <c r="O351" s="17">
        <f t="shared" si="59"/>
        <v>-810</v>
      </c>
      <c r="P351" s="18">
        <f t="shared" ca="1" si="60"/>
        <v>-113.65292260266017</v>
      </c>
      <c r="Q351" s="18">
        <f t="shared" ca="1" si="61"/>
        <v>340.95876780798051</v>
      </c>
      <c r="R351" s="19">
        <f t="shared" ca="1" si="62"/>
        <v>-349.22338082128135</v>
      </c>
      <c r="S351" s="15">
        <f t="shared" ca="1" si="63"/>
        <v>1</v>
      </c>
    </row>
    <row r="352" spans="9:19">
      <c r="I352" s="15">
        <f t="shared" si="64"/>
        <v>348</v>
      </c>
      <c r="J352" s="16">
        <f t="shared" ca="1" si="65"/>
        <v>246.57699423182629</v>
      </c>
      <c r="K352" s="16">
        <f t="shared" ca="1" si="55"/>
        <v>23.423005768173709</v>
      </c>
      <c r="L352" s="16">
        <f t="shared" ca="1" si="56"/>
        <v>246.57699423182629</v>
      </c>
      <c r="M352" s="17">
        <f t="shared" ca="1" si="57"/>
        <v>117.11502884086855</v>
      </c>
      <c r="N352" s="17">
        <f t="shared" si="58"/>
        <v>20</v>
      </c>
      <c r="O352" s="17">
        <f t="shared" si="59"/>
        <v>-810</v>
      </c>
      <c r="P352" s="18">
        <f t="shared" ca="1" si="60"/>
        <v>-123.28849711591315</v>
      </c>
      <c r="Q352" s="18">
        <f t="shared" ca="1" si="61"/>
        <v>369.86549134773941</v>
      </c>
      <c r="R352" s="19">
        <f t="shared" ca="1" si="62"/>
        <v>-426.30797692730528</v>
      </c>
      <c r="S352" s="15">
        <f t="shared" ca="1" si="63"/>
        <v>1</v>
      </c>
    </row>
    <row r="353" spans="9:19">
      <c r="I353" s="15">
        <f t="shared" si="64"/>
        <v>349</v>
      </c>
      <c r="J353" s="16">
        <f t="shared" ca="1" si="65"/>
        <v>198.20439222563925</v>
      </c>
      <c r="K353" s="16">
        <f t="shared" ca="1" si="55"/>
        <v>71.795607774360747</v>
      </c>
      <c r="L353" s="16">
        <f t="shared" ca="1" si="56"/>
        <v>198.20439222563925</v>
      </c>
      <c r="M353" s="17">
        <f t="shared" ca="1" si="57"/>
        <v>358.97803887180373</v>
      </c>
      <c r="N353" s="17">
        <f t="shared" si="58"/>
        <v>20</v>
      </c>
      <c r="O353" s="17">
        <f t="shared" si="59"/>
        <v>-810</v>
      </c>
      <c r="P353" s="18">
        <f t="shared" ca="1" si="60"/>
        <v>-99.102196112819627</v>
      </c>
      <c r="Q353" s="18">
        <f t="shared" ca="1" si="61"/>
        <v>297.30658833845888</v>
      </c>
      <c r="R353" s="19">
        <f t="shared" ca="1" si="62"/>
        <v>-232.81756890255696</v>
      </c>
      <c r="S353" s="15">
        <f t="shared" ca="1" si="63"/>
        <v>1</v>
      </c>
    </row>
    <row r="354" spans="9:19">
      <c r="I354" s="15">
        <f t="shared" si="64"/>
        <v>350</v>
      </c>
      <c r="J354" s="16">
        <f t="shared" ca="1" si="65"/>
        <v>144.53948408314938</v>
      </c>
      <c r="K354" s="16">
        <f t="shared" ca="1" si="55"/>
        <v>125.46051591685062</v>
      </c>
      <c r="L354" s="16">
        <f t="shared" ca="1" si="56"/>
        <v>144.53948408314938</v>
      </c>
      <c r="M354" s="17">
        <f t="shared" ca="1" si="57"/>
        <v>627.30257958425318</v>
      </c>
      <c r="N354" s="17">
        <f t="shared" si="58"/>
        <v>20</v>
      </c>
      <c r="O354" s="17">
        <f t="shared" si="59"/>
        <v>-810</v>
      </c>
      <c r="P354" s="18">
        <f t="shared" ca="1" si="60"/>
        <v>-72.269742041574688</v>
      </c>
      <c r="Q354" s="18">
        <f t="shared" ca="1" si="61"/>
        <v>216.80922612472406</v>
      </c>
      <c r="R354" s="19">
        <f t="shared" ca="1" si="62"/>
        <v>-18.157936332597444</v>
      </c>
      <c r="S354" s="15">
        <f t="shared" ca="1" si="63"/>
        <v>1</v>
      </c>
    </row>
    <row r="355" spans="9:19">
      <c r="I355" s="15">
        <f t="shared" si="64"/>
        <v>351</v>
      </c>
      <c r="J355" s="16">
        <f t="shared" ca="1" si="65"/>
        <v>151.33122069328397</v>
      </c>
      <c r="K355" s="16">
        <f t="shared" ca="1" si="55"/>
        <v>118.66877930671603</v>
      </c>
      <c r="L355" s="16">
        <f t="shared" ca="1" si="56"/>
        <v>151.33122069328397</v>
      </c>
      <c r="M355" s="17">
        <f t="shared" ca="1" si="57"/>
        <v>593.34389653358016</v>
      </c>
      <c r="N355" s="17">
        <f t="shared" si="58"/>
        <v>20</v>
      </c>
      <c r="O355" s="17">
        <f t="shared" si="59"/>
        <v>-810</v>
      </c>
      <c r="P355" s="18">
        <f t="shared" ca="1" si="60"/>
        <v>-75.665610346641984</v>
      </c>
      <c r="Q355" s="18">
        <f t="shared" ca="1" si="61"/>
        <v>226.99683103992595</v>
      </c>
      <c r="R355" s="19">
        <f t="shared" ca="1" si="62"/>
        <v>-45.324882773135869</v>
      </c>
      <c r="S355" s="15">
        <f t="shared" ca="1" si="63"/>
        <v>1</v>
      </c>
    </row>
    <row r="356" spans="9:19">
      <c r="I356" s="15">
        <f t="shared" si="64"/>
        <v>352</v>
      </c>
      <c r="J356" s="16">
        <f t="shared" ca="1" si="65"/>
        <v>232.33426141419682</v>
      </c>
      <c r="K356" s="16">
        <f t="shared" ca="1" si="55"/>
        <v>37.665738585803183</v>
      </c>
      <c r="L356" s="16">
        <f t="shared" ca="1" si="56"/>
        <v>232.33426141419682</v>
      </c>
      <c r="M356" s="17">
        <f t="shared" ca="1" si="57"/>
        <v>188.32869292901592</v>
      </c>
      <c r="N356" s="17">
        <f t="shared" si="58"/>
        <v>20</v>
      </c>
      <c r="O356" s="17">
        <f t="shared" si="59"/>
        <v>-810</v>
      </c>
      <c r="P356" s="18">
        <f t="shared" ca="1" si="60"/>
        <v>-116.16713070709841</v>
      </c>
      <c r="Q356" s="18">
        <f t="shared" ca="1" si="61"/>
        <v>348.50139212129523</v>
      </c>
      <c r="R356" s="19">
        <f t="shared" ca="1" si="62"/>
        <v>-369.33704565678727</v>
      </c>
      <c r="S356" s="15">
        <f t="shared" ca="1" si="63"/>
        <v>1</v>
      </c>
    </row>
    <row r="357" spans="9:19">
      <c r="I357" s="15">
        <f t="shared" si="64"/>
        <v>353</v>
      </c>
      <c r="J357" s="16">
        <f t="shared" ca="1" si="65"/>
        <v>191.41569243910124</v>
      </c>
      <c r="K357" s="16">
        <f t="shared" ca="1" si="55"/>
        <v>78.584307560898765</v>
      </c>
      <c r="L357" s="16">
        <f t="shared" ca="1" si="56"/>
        <v>191.41569243910124</v>
      </c>
      <c r="M357" s="17">
        <f t="shared" ca="1" si="57"/>
        <v>392.92153780449382</v>
      </c>
      <c r="N357" s="17">
        <f t="shared" si="58"/>
        <v>20</v>
      </c>
      <c r="O357" s="17">
        <f t="shared" si="59"/>
        <v>-810</v>
      </c>
      <c r="P357" s="18">
        <f t="shared" ca="1" si="60"/>
        <v>-95.707846219550618</v>
      </c>
      <c r="Q357" s="18">
        <f t="shared" ca="1" si="61"/>
        <v>287.12353865865185</v>
      </c>
      <c r="R357" s="19">
        <f t="shared" ca="1" si="62"/>
        <v>-205.66276975640494</v>
      </c>
      <c r="S357" s="15">
        <f t="shared" ca="1" si="63"/>
        <v>1</v>
      </c>
    </row>
    <row r="358" spans="9:19">
      <c r="I358" s="15">
        <f t="shared" si="64"/>
        <v>354</v>
      </c>
      <c r="J358" s="16">
        <f t="shared" ca="1" si="65"/>
        <v>372.36007973162123</v>
      </c>
      <c r="K358" s="16">
        <f t="shared" ca="1" si="55"/>
        <v>270</v>
      </c>
      <c r="L358" s="16">
        <f t="shared" ca="1" si="56"/>
        <v>0</v>
      </c>
      <c r="M358" s="17">
        <f t="shared" ca="1" si="57"/>
        <v>1350</v>
      </c>
      <c r="N358" s="17">
        <f t="shared" si="58"/>
        <v>20</v>
      </c>
      <c r="O358" s="17">
        <f t="shared" si="59"/>
        <v>-810</v>
      </c>
      <c r="P358" s="18">
        <f t="shared" ca="1" si="60"/>
        <v>0</v>
      </c>
      <c r="Q358" s="18">
        <f t="shared" ca="1" si="61"/>
        <v>0</v>
      </c>
      <c r="R358" s="19">
        <f t="shared" ca="1" si="62"/>
        <v>560</v>
      </c>
      <c r="S358" s="15">
        <f t="shared" ca="1" si="63"/>
        <v>0</v>
      </c>
    </row>
    <row r="359" spans="9:19">
      <c r="I359" s="15">
        <f t="shared" si="64"/>
        <v>355</v>
      </c>
      <c r="J359" s="16">
        <f t="shared" ca="1" si="65"/>
        <v>156.86897524255198</v>
      </c>
      <c r="K359" s="16">
        <f t="shared" ca="1" si="55"/>
        <v>113.13102475744802</v>
      </c>
      <c r="L359" s="16">
        <f t="shared" ca="1" si="56"/>
        <v>156.86897524255198</v>
      </c>
      <c r="M359" s="17">
        <f t="shared" ca="1" si="57"/>
        <v>565.65512378724009</v>
      </c>
      <c r="N359" s="17">
        <f t="shared" si="58"/>
        <v>20</v>
      </c>
      <c r="O359" s="17">
        <f t="shared" si="59"/>
        <v>-810</v>
      </c>
      <c r="P359" s="18">
        <f t="shared" ca="1" si="60"/>
        <v>-78.434487621275991</v>
      </c>
      <c r="Q359" s="18">
        <f t="shared" ca="1" si="61"/>
        <v>235.30346286382797</v>
      </c>
      <c r="R359" s="19">
        <f t="shared" ca="1" si="62"/>
        <v>-67.475900970207931</v>
      </c>
      <c r="S359" s="15">
        <f t="shared" ca="1" si="63"/>
        <v>1</v>
      </c>
    </row>
    <row r="360" spans="9:19">
      <c r="I360" s="15">
        <f t="shared" si="64"/>
        <v>356</v>
      </c>
      <c r="J360" s="16">
        <f t="shared" ca="1" si="65"/>
        <v>304.72769993899362</v>
      </c>
      <c r="K360" s="16">
        <f t="shared" ca="1" si="55"/>
        <v>270</v>
      </c>
      <c r="L360" s="16">
        <f t="shared" ca="1" si="56"/>
        <v>0</v>
      </c>
      <c r="M360" s="17">
        <f t="shared" ca="1" si="57"/>
        <v>1350</v>
      </c>
      <c r="N360" s="17">
        <f t="shared" si="58"/>
        <v>20</v>
      </c>
      <c r="O360" s="17">
        <f t="shared" si="59"/>
        <v>-810</v>
      </c>
      <c r="P360" s="18">
        <f t="shared" ca="1" si="60"/>
        <v>0</v>
      </c>
      <c r="Q360" s="18">
        <f t="shared" ca="1" si="61"/>
        <v>0</v>
      </c>
      <c r="R360" s="19">
        <f t="shared" ca="1" si="62"/>
        <v>560</v>
      </c>
      <c r="S360" s="15">
        <f t="shared" ca="1" si="63"/>
        <v>0</v>
      </c>
    </row>
    <row r="361" spans="9:19">
      <c r="I361" s="15">
        <f t="shared" si="64"/>
        <v>357</v>
      </c>
      <c r="J361" s="16">
        <f t="shared" ca="1" si="65"/>
        <v>144.06471407254128</v>
      </c>
      <c r="K361" s="16">
        <f t="shared" ca="1" si="55"/>
        <v>125.93528592745872</v>
      </c>
      <c r="L361" s="16">
        <f t="shared" ca="1" si="56"/>
        <v>144.06471407254128</v>
      </c>
      <c r="M361" s="17">
        <f t="shared" ca="1" si="57"/>
        <v>629.67642963729361</v>
      </c>
      <c r="N361" s="17">
        <f t="shared" si="58"/>
        <v>20</v>
      </c>
      <c r="O361" s="17">
        <f t="shared" si="59"/>
        <v>-810</v>
      </c>
      <c r="P361" s="18">
        <f t="shared" ca="1" si="60"/>
        <v>-72.032357036270639</v>
      </c>
      <c r="Q361" s="18">
        <f t="shared" ca="1" si="61"/>
        <v>216.09707110881192</v>
      </c>
      <c r="R361" s="19">
        <f t="shared" ca="1" si="62"/>
        <v>-16.258856290165113</v>
      </c>
      <c r="S361" s="15">
        <f t="shared" ca="1" si="63"/>
        <v>1</v>
      </c>
    </row>
    <row r="362" spans="9:19">
      <c r="I362" s="15">
        <f t="shared" si="64"/>
        <v>358</v>
      </c>
      <c r="J362" s="16">
        <f t="shared" ca="1" si="65"/>
        <v>366.28015159923336</v>
      </c>
      <c r="K362" s="16">
        <f t="shared" ca="1" si="55"/>
        <v>270</v>
      </c>
      <c r="L362" s="16">
        <f t="shared" ca="1" si="56"/>
        <v>0</v>
      </c>
      <c r="M362" s="17">
        <f t="shared" ca="1" si="57"/>
        <v>1350</v>
      </c>
      <c r="N362" s="17">
        <f t="shared" si="58"/>
        <v>20</v>
      </c>
      <c r="O362" s="17">
        <f t="shared" si="59"/>
        <v>-810</v>
      </c>
      <c r="P362" s="18">
        <f t="shared" ca="1" si="60"/>
        <v>0</v>
      </c>
      <c r="Q362" s="18">
        <f t="shared" ca="1" si="61"/>
        <v>0</v>
      </c>
      <c r="R362" s="19">
        <f t="shared" ca="1" si="62"/>
        <v>560</v>
      </c>
      <c r="S362" s="15">
        <f t="shared" ca="1" si="63"/>
        <v>0</v>
      </c>
    </row>
    <row r="363" spans="9:19">
      <c r="I363" s="15">
        <f t="shared" si="64"/>
        <v>359</v>
      </c>
      <c r="J363" s="16">
        <f t="shared" ca="1" si="65"/>
        <v>400.0122251392238</v>
      </c>
      <c r="K363" s="16">
        <f t="shared" ca="1" si="55"/>
        <v>270</v>
      </c>
      <c r="L363" s="16">
        <f t="shared" ca="1" si="56"/>
        <v>0</v>
      </c>
      <c r="M363" s="17">
        <f t="shared" ca="1" si="57"/>
        <v>1350</v>
      </c>
      <c r="N363" s="17">
        <f t="shared" si="58"/>
        <v>20</v>
      </c>
      <c r="O363" s="17">
        <f t="shared" si="59"/>
        <v>-810</v>
      </c>
      <c r="P363" s="18">
        <f t="shared" ca="1" si="60"/>
        <v>0</v>
      </c>
      <c r="Q363" s="18">
        <f t="shared" ca="1" si="61"/>
        <v>0</v>
      </c>
      <c r="R363" s="19">
        <f t="shared" ca="1" si="62"/>
        <v>560</v>
      </c>
      <c r="S363" s="15">
        <f t="shared" ca="1" si="63"/>
        <v>0</v>
      </c>
    </row>
    <row r="364" spans="9:19">
      <c r="I364" s="15">
        <f t="shared" si="64"/>
        <v>360</v>
      </c>
      <c r="J364" s="16">
        <f t="shared" ca="1" si="65"/>
        <v>270.6828686354541</v>
      </c>
      <c r="K364" s="16">
        <f t="shared" ca="1" si="55"/>
        <v>270</v>
      </c>
      <c r="L364" s="16">
        <f t="shared" ca="1" si="56"/>
        <v>0</v>
      </c>
      <c r="M364" s="17">
        <f t="shared" ca="1" si="57"/>
        <v>1350</v>
      </c>
      <c r="N364" s="17">
        <f t="shared" si="58"/>
        <v>20</v>
      </c>
      <c r="O364" s="17">
        <f t="shared" si="59"/>
        <v>-810</v>
      </c>
      <c r="P364" s="18">
        <f t="shared" ca="1" si="60"/>
        <v>0</v>
      </c>
      <c r="Q364" s="18">
        <f t="shared" ca="1" si="61"/>
        <v>0</v>
      </c>
      <c r="R364" s="19">
        <f t="shared" ca="1" si="62"/>
        <v>560</v>
      </c>
      <c r="S364" s="15">
        <f t="shared" ca="1" si="63"/>
        <v>0</v>
      </c>
    </row>
    <row r="365" spans="9:19">
      <c r="I365" s="15">
        <f t="shared" si="64"/>
        <v>361</v>
      </c>
      <c r="J365" s="16">
        <f t="shared" ca="1" si="65"/>
        <v>139.40961895847772</v>
      </c>
      <c r="K365" s="16">
        <f t="shared" ca="1" si="55"/>
        <v>130.59038104152228</v>
      </c>
      <c r="L365" s="16">
        <f t="shared" ca="1" si="56"/>
        <v>139.40961895847772</v>
      </c>
      <c r="M365" s="17">
        <f t="shared" ca="1" si="57"/>
        <v>652.95190520761139</v>
      </c>
      <c r="N365" s="17">
        <f t="shared" si="58"/>
        <v>20</v>
      </c>
      <c r="O365" s="17">
        <f t="shared" si="59"/>
        <v>-810</v>
      </c>
      <c r="P365" s="18">
        <f t="shared" ca="1" si="60"/>
        <v>-69.704809479238861</v>
      </c>
      <c r="Q365" s="18">
        <f t="shared" ca="1" si="61"/>
        <v>209.11442843771658</v>
      </c>
      <c r="R365" s="19">
        <f t="shared" ca="1" si="62"/>
        <v>2.3615241660891115</v>
      </c>
      <c r="S365" s="15">
        <f t="shared" ca="1" si="63"/>
        <v>0</v>
      </c>
    </row>
    <row r="366" spans="9:19">
      <c r="I366" s="15">
        <f t="shared" si="64"/>
        <v>362</v>
      </c>
      <c r="J366" s="16">
        <f t="shared" ca="1" si="65"/>
        <v>346.18097621118625</v>
      </c>
      <c r="K366" s="16">
        <f t="shared" ca="1" si="55"/>
        <v>270</v>
      </c>
      <c r="L366" s="16">
        <f t="shared" ca="1" si="56"/>
        <v>0</v>
      </c>
      <c r="M366" s="17">
        <f t="shared" ca="1" si="57"/>
        <v>1350</v>
      </c>
      <c r="N366" s="17">
        <f t="shared" si="58"/>
        <v>20</v>
      </c>
      <c r="O366" s="17">
        <f t="shared" si="59"/>
        <v>-810</v>
      </c>
      <c r="P366" s="18">
        <f t="shared" ca="1" si="60"/>
        <v>0</v>
      </c>
      <c r="Q366" s="18">
        <f t="shared" ca="1" si="61"/>
        <v>0</v>
      </c>
      <c r="R366" s="19">
        <f t="shared" ca="1" si="62"/>
        <v>560</v>
      </c>
      <c r="S366" s="15">
        <f t="shared" ca="1" si="63"/>
        <v>0</v>
      </c>
    </row>
    <row r="367" spans="9:19">
      <c r="I367" s="15">
        <f t="shared" si="64"/>
        <v>363</v>
      </c>
      <c r="J367" s="16">
        <f t="shared" ca="1" si="65"/>
        <v>175.98695101720955</v>
      </c>
      <c r="K367" s="16">
        <f t="shared" ca="1" si="55"/>
        <v>94.013048982790451</v>
      </c>
      <c r="L367" s="16">
        <f t="shared" ca="1" si="56"/>
        <v>175.98695101720955</v>
      </c>
      <c r="M367" s="17">
        <f t="shared" ca="1" si="57"/>
        <v>470.06524491395226</v>
      </c>
      <c r="N367" s="17">
        <f t="shared" si="58"/>
        <v>20</v>
      </c>
      <c r="O367" s="17">
        <f t="shared" si="59"/>
        <v>-810</v>
      </c>
      <c r="P367" s="18">
        <f t="shared" ca="1" si="60"/>
        <v>-87.993475508604774</v>
      </c>
      <c r="Q367" s="18">
        <f t="shared" ca="1" si="61"/>
        <v>263.98042652581432</v>
      </c>
      <c r="R367" s="19">
        <f t="shared" ca="1" si="62"/>
        <v>-143.9478040688382</v>
      </c>
      <c r="S367" s="15">
        <f t="shared" ca="1" si="63"/>
        <v>1</v>
      </c>
    </row>
    <row r="368" spans="9:19">
      <c r="I368" s="15">
        <f t="shared" si="64"/>
        <v>364</v>
      </c>
      <c r="J368" s="16">
        <f t="shared" ca="1" si="65"/>
        <v>266.35893842275721</v>
      </c>
      <c r="K368" s="16">
        <f t="shared" ca="1" si="55"/>
        <v>3.6410615772427946</v>
      </c>
      <c r="L368" s="16">
        <f t="shared" ca="1" si="56"/>
        <v>266.35893842275721</v>
      </c>
      <c r="M368" s="17">
        <f t="shared" ca="1" si="57"/>
        <v>18.205307886213973</v>
      </c>
      <c r="N368" s="17">
        <f t="shared" si="58"/>
        <v>20</v>
      </c>
      <c r="O368" s="17">
        <f t="shared" si="59"/>
        <v>-810</v>
      </c>
      <c r="P368" s="18">
        <f t="shared" ca="1" si="60"/>
        <v>-133.1794692113786</v>
      </c>
      <c r="Q368" s="18">
        <f t="shared" ca="1" si="61"/>
        <v>399.53840763413581</v>
      </c>
      <c r="R368" s="19">
        <f t="shared" ca="1" si="62"/>
        <v>-505.43575369102888</v>
      </c>
      <c r="S368" s="15">
        <f t="shared" ca="1" si="63"/>
        <v>1</v>
      </c>
    </row>
    <row r="369" spans="9:19">
      <c r="I369" s="15">
        <f t="shared" si="64"/>
        <v>365</v>
      </c>
      <c r="J369" s="16">
        <f t="shared" ca="1" si="65"/>
        <v>215.13220938358319</v>
      </c>
      <c r="K369" s="16">
        <f t="shared" ca="1" si="55"/>
        <v>54.867790616416812</v>
      </c>
      <c r="L369" s="16">
        <f t="shared" ca="1" si="56"/>
        <v>215.13220938358319</v>
      </c>
      <c r="M369" s="17">
        <f t="shared" ca="1" si="57"/>
        <v>274.33895308208406</v>
      </c>
      <c r="N369" s="17">
        <f t="shared" si="58"/>
        <v>20</v>
      </c>
      <c r="O369" s="17">
        <f t="shared" si="59"/>
        <v>-810</v>
      </c>
      <c r="P369" s="18">
        <f t="shared" ca="1" si="60"/>
        <v>-107.56610469179159</v>
      </c>
      <c r="Q369" s="18">
        <f t="shared" ca="1" si="61"/>
        <v>322.69831407537481</v>
      </c>
      <c r="R369" s="19">
        <f t="shared" ca="1" si="62"/>
        <v>-300.52883753433264</v>
      </c>
      <c r="S369" s="15">
        <f t="shared" ca="1" si="63"/>
        <v>1</v>
      </c>
    </row>
    <row r="370" spans="9:19">
      <c r="I370" s="15">
        <f t="shared" si="64"/>
        <v>366</v>
      </c>
      <c r="J370" s="16">
        <f t="shared" ca="1" si="65"/>
        <v>397.30607315583285</v>
      </c>
      <c r="K370" s="16">
        <f t="shared" ca="1" si="55"/>
        <v>270</v>
      </c>
      <c r="L370" s="16">
        <f t="shared" ca="1" si="56"/>
        <v>0</v>
      </c>
      <c r="M370" s="17">
        <f t="shared" ca="1" si="57"/>
        <v>1350</v>
      </c>
      <c r="N370" s="17">
        <f t="shared" si="58"/>
        <v>20</v>
      </c>
      <c r="O370" s="17">
        <f t="shared" si="59"/>
        <v>-810</v>
      </c>
      <c r="P370" s="18">
        <f t="shared" ca="1" si="60"/>
        <v>0</v>
      </c>
      <c r="Q370" s="18">
        <f t="shared" ca="1" si="61"/>
        <v>0</v>
      </c>
      <c r="R370" s="19">
        <f t="shared" ca="1" si="62"/>
        <v>560</v>
      </c>
      <c r="S370" s="15">
        <f t="shared" ca="1" si="63"/>
        <v>0</v>
      </c>
    </row>
    <row r="371" spans="9:19">
      <c r="I371" s="15">
        <f t="shared" si="64"/>
        <v>367</v>
      </c>
      <c r="J371" s="16">
        <f t="shared" ca="1" si="65"/>
        <v>155.01403646569719</v>
      </c>
      <c r="K371" s="16">
        <f t="shared" ca="1" si="55"/>
        <v>114.98596353430281</v>
      </c>
      <c r="L371" s="16">
        <f t="shared" ca="1" si="56"/>
        <v>155.01403646569719</v>
      </c>
      <c r="M371" s="17">
        <f t="shared" ca="1" si="57"/>
        <v>574.929817671514</v>
      </c>
      <c r="N371" s="17">
        <f t="shared" si="58"/>
        <v>20</v>
      </c>
      <c r="O371" s="17">
        <f t="shared" si="59"/>
        <v>-810</v>
      </c>
      <c r="P371" s="18">
        <f t="shared" ca="1" si="60"/>
        <v>-77.507018232848594</v>
      </c>
      <c r="Q371" s="18">
        <f t="shared" ca="1" si="61"/>
        <v>232.52105469854578</v>
      </c>
      <c r="R371" s="19">
        <f t="shared" ca="1" si="62"/>
        <v>-60.056145862788838</v>
      </c>
      <c r="S371" s="15">
        <f t="shared" ca="1" si="63"/>
        <v>1</v>
      </c>
    </row>
    <row r="372" spans="9:19">
      <c r="I372" s="15">
        <f t="shared" si="64"/>
        <v>368</v>
      </c>
      <c r="J372" s="16">
        <f t="shared" ca="1" si="65"/>
        <v>293.63013093793415</v>
      </c>
      <c r="K372" s="16">
        <f t="shared" ca="1" si="55"/>
        <v>270</v>
      </c>
      <c r="L372" s="16">
        <f t="shared" ca="1" si="56"/>
        <v>0</v>
      </c>
      <c r="M372" s="17">
        <f t="shared" ca="1" si="57"/>
        <v>1350</v>
      </c>
      <c r="N372" s="17">
        <f t="shared" si="58"/>
        <v>20</v>
      </c>
      <c r="O372" s="17">
        <f t="shared" si="59"/>
        <v>-810</v>
      </c>
      <c r="P372" s="18">
        <f t="shared" ca="1" si="60"/>
        <v>0</v>
      </c>
      <c r="Q372" s="18">
        <f t="shared" ca="1" si="61"/>
        <v>0</v>
      </c>
      <c r="R372" s="19">
        <f t="shared" ca="1" si="62"/>
        <v>560</v>
      </c>
      <c r="S372" s="15">
        <f t="shared" ca="1" si="63"/>
        <v>0</v>
      </c>
    </row>
    <row r="373" spans="9:19">
      <c r="I373" s="15">
        <f t="shared" si="64"/>
        <v>369</v>
      </c>
      <c r="J373" s="16">
        <f t="shared" ca="1" si="65"/>
        <v>418.62837934485071</v>
      </c>
      <c r="K373" s="16">
        <f t="shared" ca="1" si="55"/>
        <v>270</v>
      </c>
      <c r="L373" s="16">
        <f t="shared" ca="1" si="56"/>
        <v>0</v>
      </c>
      <c r="M373" s="17">
        <f t="shared" ca="1" si="57"/>
        <v>1350</v>
      </c>
      <c r="N373" s="17">
        <f t="shared" si="58"/>
        <v>20</v>
      </c>
      <c r="O373" s="17">
        <f t="shared" si="59"/>
        <v>-810</v>
      </c>
      <c r="P373" s="18">
        <f t="shared" ca="1" si="60"/>
        <v>0</v>
      </c>
      <c r="Q373" s="18">
        <f t="shared" ca="1" si="61"/>
        <v>0</v>
      </c>
      <c r="R373" s="19">
        <f t="shared" ca="1" si="62"/>
        <v>560</v>
      </c>
      <c r="S373" s="15">
        <f t="shared" ca="1" si="63"/>
        <v>0</v>
      </c>
    </row>
    <row r="374" spans="9:19">
      <c r="I374" s="15">
        <f t="shared" si="64"/>
        <v>370</v>
      </c>
      <c r="J374" s="16">
        <f t="shared" ca="1" si="65"/>
        <v>255.12091904216584</v>
      </c>
      <c r="K374" s="16">
        <f t="shared" ca="1" si="55"/>
        <v>14.879080957834162</v>
      </c>
      <c r="L374" s="16">
        <f t="shared" ca="1" si="56"/>
        <v>255.12091904216584</v>
      </c>
      <c r="M374" s="17">
        <f t="shared" ca="1" si="57"/>
        <v>74.395404789170811</v>
      </c>
      <c r="N374" s="17">
        <f t="shared" si="58"/>
        <v>20</v>
      </c>
      <c r="O374" s="17">
        <f t="shared" si="59"/>
        <v>-810</v>
      </c>
      <c r="P374" s="18">
        <f t="shared" ca="1" si="60"/>
        <v>-127.56045952108292</v>
      </c>
      <c r="Q374" s="18">
        <f t="shared" ca="1" si="61"/>
        <v>382.68137856324876</v>
      </c>
      <c r="R374" s="19">
        <f t="shared" ca="1" si="62"/>
        <v>-460.48367616866329</v>
      </c>
      <c r="S374" s="15">
        <f t="shared" ca="1" si="63"/>
        <v>1</v>
      </c>
    </row>
    <row r="375" spans="9:19">
      <c r="I375" s="15">
        <f t="shared" si="64"/>
        <v>371</v>
      </c>
      <c r="J375" s="16">
        <f t="shared" ca="1" si="65"/>
        <v>252.9019614155896</v>
      </c>
      <c r="K375" s="16">
        <f t="shared" ca="1" si="55"/>
        <v>17.098038584410403</v>
      </c>
      <c r="L375" s="16">
        <f t="shared" ca="1" si="56"/>
        <v>252.9019614155896</v>
      </c>
      <c r="M375" s="17">
        <f t="shared" ca="1" si="57"/>
        <v>85.490192922052017</v>
      </c>
      <c r="N375" s="17">
        <f t="shared" si="58"/>
        <v>20</v>
      </c>
      <c r="O375" s="17">
        <f t="shared" si="59"/>
        <v>-810</v>
      </c>
      <c r="P375" s="18">
        <f t="shared" ca="1" si="60"/>
        <v>-126.4509807077948</v>
      </c>
      <c r="Q375" s="18">
        <f t="shared" ca="1" si="61"/>
        <v>379.35294212338442</v>
      </c>
      <c r="R375" s="19">
        <f t="shared" ca="1" si="62"/>
        <v>-451.60784566235827</v>
      </c>
      <c r="S375" s="15">
        <f t="shared" ca="1" si="63"/>
        <v>1</v>
      </c>
    </row>
    <row r="376" spans="9:19">
      <c r="I376" s="15">
        <f t="shared" si="64"/>
        <v>372</v>
      </c>
      <c r="J376" s="16">
        <f t="shared" ca="1" si="65"/>
        <v>199.4812699712142</v>
      </c>
      <c r="K376" s="16">
        <f t="shared" ca="1" si="55"/>
        <v>70.518730028785797</v>
      </c>
      <c r="L376" s="16">
        <f t="shared" ca="1" si="56"/>
        <v>199.4812699712142</v>
      </c>
      <c r="M376" s="17">
        <f t="shared" ca="1" si="57"/>
        <v>352.59365014392898</v>
      </c>
      <c r="N376" s="17">
        <f t="shared" si="58"/>
        <v>20</v>
      </c>
      <c r="O376" s="17">
        <f t="shared" si="59"/>
        <v>-810</v>
      </c>
      <c r="P376" s="18">
        <f t="shared" ca="1" si="60"/>
        <v>-99.740634985607102</v>
      </c>
      <c r="Q376" s="18">
        <f t="shared" ca="1" si="61"/>
        <v>299.22190495682128</v>
      </c>
      <c r="R376" s="19">
        <f t="shared" ca="1" si="62"/>
        <v>-237.92507988485681</v>
      </c>
      <c r="S376" s="15">
        <f t="shared" ca="1" si="63"/>
        <v>1</v>
      </c>
    </row>
    <row r="377" spans="9:19">
      <c r="I377" s="15">
        <f t="shared" si="64"/>
        <v>373</v>
      </c>
      <c r="J377" s="16">
        <f t="shared" ca="1" si="65"/>
        <v>253.82807900773801</v>
      </c>
      <c r="K377" s="16">
        <f t="shared" ca="1" si="55"/>
        <v>16.171920992261988</v>
      </c>
      <c r="L377" s="16">
        <f t="shared" ca="1" si="56"/>
        <v>253.82807900773801</v>
      </c>
      <c r="M377" s="17">
        <f t="shared" ca="1" si="57"/>
        <v>80.859604961309941</v>
      </c>
      <c r="N377" s="17">
        <f t="shared" si="58"/>
        <v>20</v>
      </c>
      <c r="O377" s="17">
        <f t="shared" si="59"/>
        <v>-810</v>
      </c>
      <c r="P377" s="18">
        <f t="shared" ca="1" si="60"/>
        <v>-126.91403950386901</v>
      </c>
      <c r="Q377" s="18">
        <f t="shared" ca="1" si="61"/>
        <v>380.74211851160703</v>
      </c>
      <c r="R377" s="19">
        <f t="shared" ca="1" si="62"/>
        <v>-455.31231603095205</v>
      </c>
      <c r="S377" s="15">
        <f t="shared" ca="1" si="63"/>
        <v>1</v>
      </c>
    </row>
    <row r="378" spans="9:19">
      <c r="I378" s="15">
        <f t="shared" si="64"/>
        <v>374</v>
      </c>
      <c r="J378" s="16">
        <f t="shared" ca="1" si="65"/>
        <v>194.61827086254721</v>
      </c>
      <c r="K378" s="16">
        <f t="shared" ca="1" si="55"/>
        <v>75.381729137452794</v>
      </c>
      <c r="L378" s="16">
        <f t="shared" ca="1" si="56"/>
        <v>194.61827086254721</v>
      </c>
      <c r="M378" s="17">
        <f t="shared" ca="1" si="57"/>
        <v>376.90864568726397</v>
      </c>
      <c r="N378" s="17">
        <f t="shared" si="58"/>
        <v>20</v>
      </c>
      <c r="O378" s="17">
        <f t="shared" si="59"/>
        <v>-810</v>
      </c>
      <c r="P378" s="18">
        <f t="shared" ca="1" si="60"/>
        <v>-97.309135431273603</v>
      </c>
      <c r="Q378" s="18">
        <f t="shared" ca="1" si="61"/>
        <v>291.92740629382081</v>
      </c>
      <c r="R378" s="19">
        <f t="shared" ca="1" si="62"/>
        <v>-218.47308345018882</v>
      </c>
      <c r="S378" s="15">
        <f t="shared" ca="1" si="63"/>
        <v>1</v>
      </c>
    </row>
    <row r="379" spans="9:19">
      <c r="I379" s="15">
        <f t="shared" si="64"/>
        <v>375</v>
      </c>
      <c r="J379" s="16">
        <f t="shared" ca="1" si="65"/>
        <v>147.48575666421786</v>
      </c>
      <c r="K379" s="16">
        <f t="shared" ca="1" si="55"/>
        <v>122.51424333578214</v>
      </c>
      <c r="L379" s="16">
        <f t="shared" ca="1" si="56"/>
        <v>147.48575666421786</v>
      </c>
      <c r="M379" s="17">
        <f t="shared" ca="1" si="57"/>
        <v>612.57121667891067</v>
      </c>
      <c r="N379" s="17">
        <f t="shared" si="58"/>
        <v>20</v>
      </c>
      <c r="O379" s="17">
        <f t="shared" si="59"/>
        <v>-810</v>
      </c>
      <c r="P379" s="18">
        <f t="shared" ca="1" si="60"/>
        <v>-73.74287833210893</v>
      </c>
      <c r="Q379" s="18">
        <f t="shared" ca="1" si="61"/>
        <v>221.22863499632678</v>
      </c>
      <c r="R379" s="19">
        <f t="shared" ca="1" si="62"/>
        <v>-29.943026656871496</v>
      </c>
      <c r="S379" s="15">
        <f t="shared" ca="1" si="63"/>
        <v>1</v>
      </c>
    </row>
    <row r="380" spans="9:19">
      <c r="I380" s="15">
        <f t="shared" si="64"/>
        <v>376</v>
      </c>
      <c r="J380" s="16">
        <f t="shared" ca="1" si="65"/>
        <v>289.84616000020605</v>
      </c>
      <c r="K380" s="16">
        <f t="shared" ca="1" si="55"/>
        <v>270</v>
      </c>
      <c r="L380" s="16">
        <f t="shared" ca="1" si="56"/>
        <v>0</v>
      </c>
      <c r="M380" s="17">
        <f t="shared" ca="1" si="57"/>
        <v>1350</v>
      </c>
      <c r="N380" s="17">
        <f t="shared" si="58"/>
        <v>20</v>
      </c>
      <c r="O380" s="17">
        <f t="shared" si="59"/>
        <v>-810</v>
      </c>
      <c r="P380" s="18">
        <f t="shared" ca="1" si="60"/>
        <v>0</v>
      </c>
      <c r="Q380" s="18">
        <f t="shared" ca="1" si="61"/>
        <v>0</v>
      </c>
      <c r="R380" s="19">
        <f t="shared" ca="1" si="62"/>
        <v>560</v>
      </c>
      <c r="S380" s="15">
        <f t="shared" ca="1" si="63"/>
        <v>0</v>
      </c>
    </row>
    <row r="381" spans="9:19">
      <c r="I381" s="15">
        <f t="shared" si="64"/>
        <v>377</v>
      </c>
      <c r="J381" s="16">
        <f t="shared" ca="1" si="65"/>
        <v>348.5761765089477</v>
      </c>
      <c r="K381" s="16">
        <f t="shared" ca="1" si="55"/>
        <v>270</v>
      </c>
      <c r="L381" s="16">
        <f t="shared" ca="1" si="56"/>
        <v>0</v>
      </c>
      <c r="M381" s="17">
        <f t="shared" ca="1" si="57"/>
        <v>1350</v>
      </c>
      <c r="N381" s="17">
        <f t="shared" si="58"/>
        <v>20</v>
      </c>
      <c r="O381" s="17">
        <f t="shared" si="59"/>
        <v>-810</v>
      </c>
      <c r="P381" s="18">
        <f t="shared" ca="1" si="60"/>
        <v>0</v>
      </c>
      <c r="Q381" s="18">
        <f t="shared" ca="1" si="61"/>
        <v>0</v>
      </c>
      <c r="R381" s="19">
        <f t="shared" ca="1" si="62"/>
        <v>560</v>
      </c>
      <c r="S381" s="15">
        <f t="shared" ca="1" si="63"/>
        <v>0</v>
      </c>
    </row>
    <row r="382" spans="9:19">
      <c r="I382" s="15">
        <f t="shared" si="64"/>
        <v>378</v>
      </c>
      <c r="J382" s="16">
        <f t="shared" ca="1" si="65"/>
        <v>405.24721005633734</v>
      </c>
      <c r="K382" s="16">
        <f t="shared" ca="1" si="55"/>
        <v>270</v>
      </c>
      <c r="L382" s="16">
        <f t="shared" ca="1" si="56"/>
        <v>0</v>
      </c>
      <c r="M382" s="17">
        <f t="shared" ca="1" si="57"/>
        <v>1350</v>
      </c>
      <c r="N382" s="17">
        <f t="shared" si="58"/>
        <v>20</v>
      </c>
      <c r="O382" s="17">
        <f t="shared" si="59"/>
        <v>-810</v>
      </c>
      <c r="P382" s="18">
        <f t="shared" ca="1" si="60"/>
        <v>0</v>
      </c>
      <c r="Q382" s="18">
        <f t="shared" ca="1" si="61"/>
        <v>0</v>
      </c>
      <c r="R382" s="19">
        <f t="shared" ca="1" si="62"/>
        <v>560</v>
      </c>
      <c r="S382" s="15">
        <f t="shared" ca="1" si="63"/>
        <v>0</v>
      </c>
    </row>
    <row r="383" spans="9:19">
      <c r="I383" s="15">
        <f t="shared" si="64"/>
        <v>379</v>
      </c>
      <c r="J383" s="16">
        <f t="shared" ca="1" si="65"/>
        <v>293.96090091087046</v>
      </c>
      <c r="K383" s="16">
        <f t="shared" ca="1" si="55"/>
        <v>270</v>
      </c>
      <c r="L383" s="16">
        <f t="shared" ca="1" si="56"/>
        <v>0</v>
      </c>
      <c r="M383" s="17">
        <f t="shared" ca="1" si="57"/>
        <v>1350</v>
      </c>
      <c r="N383" s="17">
        <f t="shared" si="58"/>
        <v>20</v>
      </c>
      <c r="O383" s="17">
        <f t="shared" si="59"/>
        <v>-810</v>
      </c>
      <c r="P383" s="18">
        <f t="shared" ca="1" si="60"/>
        <v>0</v>
      </c>
      <c r="Q383" s="18">
        <f t="shared" ca="1" si="61"/>
        <v>0</v>
      </c>
      <c r="R383" s="19">
        <f t="shared" ca="1" si="62"/>
        <v>560</v>
      </c>
      <c r="S383" s="15">
        <f t="shared" ca="1" si="63"/>
        <v>0</v>
      </c>
    </row>
    <row r="384" spans="9:19">
      <c r="I384" s="15">
        <f t="shared" si="64"/>
        <v>380</v>
      </c>
      <c r="J384" s="16">
        <f t="shared" ca="1" si="65"/>
        <v>310.09573002926766</v>
      </c>
      <c r="K384" s="16">
        <f t="shared" ca="1" si="55"/>
        <v>270</v>
      </c>
      <c r="L384" s="16">
        <f t="shared" ca="1" si="56"/>
        <v>0</v>
      </c>
      <c r="M384" s="17">
        <f t="shared" ca="1" si="57"/>
        <v>1350</v>
      </c>
      <c r="N384" s="17">
        <f t="shared" si="58"/>
        <v>20</v>
      </c>
      <c r="O384" s="17">
        <f t="shared" si="59"/>
        <v>-810</v>
      </c>
      <c r="P384" s="18">
        <f t="shared" ca="1" si="60"/>
        <v>0</v>
      </c>
      <c r="Q384" s="18">
        <f t="shared" ca="1" si="61"/>
        <v>0</v>
      </c>
      <c r="R384" s="19">
        <f t="shared" ca="1" si="62"/>
        <v>560</v>
      </c>
      <c r="S384" s="15">
        <f t="shared" ca="1" si="63"/>
        <v>0</v>
      </c>
    </row>
    <row r="385" spans="9:19">
      <c r="I385" s="15">
        <f t="shared" si="64"/>
        <v>381</v>
      </c>
      <c r="J385" s="16">
        <f t="shared" ca="1" si="65"/>
        <v>135.5970556485774</v>
      </c>
      <c r="K385" s="16">
        <f t="shared" ca="1" si="55"/>
        <v>134.4029443514226</v>
      </c>
      <c r="L385" s="16">
        <f t="shared" ca="1" si="56"/>
        <v>135.5970556485774</v>
      </c>
      <c r="M385" s="17">
        <f t="shared" ca="1" si="57"/>
        <v>672.01472175711297</v>
      </c>
      <c r="N385" s="17">
        <f t="shared" si="58"/>
        <v>20</v>
      </c>
      <c r="O385" s="17">
        <f t="shared" si="59"/>
        <v>-810</v>
      </c>
      <c r="P385" s="18">
        <f t="shared" ca="1" si="60"/>
        <v>-67.798527824288698</v>
      </c>
      <c r="Q385" s="18">
        <f t="shared" ca="1" si="61"/>
        <v>203.39558347286609</v>
      </c>
      <c r="R385" s="19">
        <f t="shared" ca="1" si="62"/>
        <v>17.611777405690361</v>
      </c>
      <c r="S385" s="15">
        <f t="shared" ca="1" si="63"/>
        <v>0</v>
      </c>
    </row>
    <row r="386" spans="9:19">
      <c r="I386" s="15">
        <f t="shared" si="64"/>
        <v>382</v>
      </c>
      <c r="J386" s="16">
        <f t="shared" ca="1" si="65"/>
        <v>215.4369655148904</v>
      </c>
      <c r="K386" s="16">
        <f t="shared" ca="1" si="55"/>
        <v>54.563034485109597</v>
      </c>
      <c r="L386" s="16">
        <f t="shared" ca="1" si="56"/>
        <v>215.4369655148904</v>
      </c>
      <c r="M386" s="17">
        <f t="shared" ca="1" si="57"/>
        <v>272.81517242554798</v>
      </c>
      <c r="N386" s="17">
        <f t="shared" si="58"/>
        <v>20</v>
      </c>
      <c r="O386" s="17">
        <f t="shared" si="59"/>
        <v>-810</v>
      </c>
      <c r="P386" s="18">
        <f t="shared" ca="1" si="60"/>
        <v>-107.7184827574452</v>
      </c>
      <c r="Q386" s="18">
        <f t="shared" ca="1" si="61"/>
        <v>323.1554482723356</v>
      </c>
      <c r="R386" s="19">
        <f t="shared" ca="1" si="62"/>
        <v>-301.74786205956167</v>
      </c>
      <c r="S386" s="15">
        <f t="shared" ca="1" si="63"/>
        <v>1</v>
      </c>
    </row>
    <row r="387" spans="9:19">
      <c r="I387" s="15">
        <f t="shared" si="64"/>
        <v>383</v>
      </c>
      <c r="J387" s="16">
        <f t="shared" ca="1" si="65"/>
        <v>345.91156084768403</v>
      </c>
      <c r="K387" s="16">
        <f t="shared" ca="1" si="55"/>
        <v>270</v>
      </c>
      <c r="L387" s="16">
        <f t="shared" ca="1" si="56"/>
        <v>0</v>
      </c>
      <c r="M387" s="17">
        <f t="shared" ca="1" si="57"/>
        <v>1350</v>
      </c>
      <c r="N387" s="17">
        <f t="shared" si="58"/>
        <v>20</v>
      </c>
      <c r="O387" s="17">
        <f t="shared" si="59"/>
        <v>-810</v>
      </c>
      <c r="P387" s="18">
        <f t="shared" ca="1" si="60"/>
        <v>0</v>
      </c>
      <c r="Q387" s="18">
        <f t="shared" ca="1" si="61"/>
        <v>0</v>
      </c>
      <c r="R387" s="19">
        <f t="shared" ca="1" si="62"/>
        <v>560</v>
      </c>
      <c r="S387" s="15">
        <f t="shared" ca="1" si="63"/>
        <v>0</v>
      </c>
    </row>
    <row r="388" spans="9:19">
      <c r="I388" s="15">
        <f t="shared" si="64"/>
        <v>384</v>
      </c>
      <c r="J388" s="16">
        <f t="shared" ca="1" si="65"/>
        <v>136.36851997890361</v>
      </c>
      <c r="K388" s="16">
        <f t="shared" ca="1" si="55"/>
        <v>133.63148002109639</v>
      </c>
      <c r="L388" s="16">
        <f t="shared" ca="1" si="56"/>
        <v>136.36851997890361</v>
      </c>
      <c r="M388" s="17">
        <f t="shared" ca="1" si="57"/>
        <v>668.157400105482</v>
      </c>
      <c r="N388" s="17">
        <f t="shared" si="58"/>
        <v>20</v>
      </c>
      <c r="O388" s="17">
        <f t="shared" si="59"/>
        <v>-810</v>
      </c>
      <c r="P388" s="18">
        <f t="shared" ca="1" si="60"/>
        <v>-68.184259989451803</v>
      </c>
      <c r="Q388" s="18">
        <f t="shared" ca="1" si="61"/>
        <v>204.55277996835542</v>
      </c>
      <c r="R388" s="19">
        <f t="shared" ca="1" si="62"/>
        <v>14.525920084385632</v>
      </c>
      <c r="S388" s="15">
        <f t="shared" ca="1" si="63"/>
        <v>0</v>
      </c>
    </row>
    <row r="389" spans="9:19">
      <c r="I389" s="15">
        <f t="shared" si="64"/>
        <v>385</v>
      </c>
      <c r="J389" s="16">
        <f t="shared" ca="1" si="65"/>
        <v>153.56850496259551</v>
      </c>
      <c r="K389" s="16">
        <f t="shared" ca="1" si="55"/>
        <v>116.43149503740449</v>
      </c>
      <c r="L389" s="16">
        <f t="shared" ca="1" si="56"/>
        <v>153.56850496259551</v>
      </c>
      <c r="M389" s="17">
        <f t="shared" ca="1" si="57"/>
        <v>582.15747518702244</v>
      </c>
      <c r="N389" s="17">
        <f t="shared" si="58"/>
        <v>20</v>
      </c>
      <c r="O389" s="17">
        <f t="shared" si="59"/>
        <v>-810</v>
      </c>
      <c r="P389" s="18">
        <f t="shared" ca="1" si="60"/>
        <v>-76.784252481297756</v>
      </c>
      <c r="Q389" s="18">
        <f t="shared" ca="1" si="61"/>
        <v>230.35275744389327</v>
      </c>
      <c r="R389" s="19">
        <f t="shared" ca="1" si="62"/>
        <v>-54.274019850382047</v>
      </c>
      <c r="S389" s="15">
        <f t="shared" ca="1" si="63"/>
        <v>1</v>
      </c>
    </row>
    <row r="390" spans="9:19">
      <c r="I390" s="15">
        <f t="shared" si="64"/>
        <v>386</v>
      </c>
      <c r="J390" s="16">
        <f t="shared" ca="1" si="65"/>
        <v>203.44034924074586</v>
      </c>
      <c r="K390" s="16">
        <f t="shared" ref="K390:K453" ca="1" si="66">IF(J390&gt;=$D$18,$D$18,$D$18-J390)</f>
        <v>66.55965075925414</v>
      </c>
      <c r="L390" s="16">
        <f t="shared" ref="L390:L453" ca="1" si="67">$D$18-K390</f>
        <v>203.44034924074586</v>
      </c>
      <c r="M390" s="17">
        <f t="shared" ref="M390:M453" ca="1" si="68">K390*5</f>
        <v>332.79825379627073</v>
      </c>
      <c r="N390" s="17">
        <f t="shared" ref="N390:N453" si="69">$D$10</f>
        <v>20</v>
      </c>
      <c r="O390" s="17">
        <f t="shared" ref="O390:O453" si="70">-$D$6*$D$18</f>
        <v>-810</v>
      </c>
      <c r="P390" s="18">
        <f t="shared" ref="P390:P453" ca="1" si="71">-L390*$D$9</f>
        <v>-101.72017462037293</v>
      </c>
      <c r="Q390" s="18">
        <f t="shared" ref="Q390:Q453" ca="1" si="72">L390*($D$6*$D$8)</f>
        <v>305.1605238611188</v>
      </c>
      <c r="R390" s="19">
        <f t="shared" ref="R390:R453" ca="1" si="73">SUM(M390:Q390)</f>
        <v>-253.76139696298344</v>
      </c>
      <c r="S390" s="15">
        <f t="shared" ref="S390:S453" ca="1" si="74">IF(R390&lt;0,1,0)</f>
        <v>1</v>
      </c>
    </row>
    <row r="391" spans="9:19">
      <c r="I391" s="15">
        <f t="shared" ref="I391:I454" si="75">I390+1</f>
        <v>387</v>
      </c>
      <c r="J391" s="16">
        <f t="shared" ref="J391:J454" ca="1" si="76">RAND()*($E$3-$D$3)+$D$3</f>
        <v>354.51526794449865</v>
      </c>
      <c r="K391" s="16">
        <f t="shared" ca="1" si="66"/>
        <v>270</v>
      </c>
      <c r="L391" s="16">
        <f t="shared" ca="1" si="67"/>
        <v>0</v>
      </c>
      <c r="M391" s="17">
        <f t="shared" ca="1" si="68"/>
        <v>1350</v>
      </c>
      <c r="N391" s="17">
        <f t="shared" si="69"/>
        <v>20</v>
      </c>
      <c r="O391" s="17">
        <f t="shared" si="70"/>
        <v>-810</v>
      </c>
      <c r="P391" s="18">
        <f t="shared" ca="1" si="71"/>
        <v>0</v>
      </c>
      <c r="Q391" s="18">
        <f t="shared" ca="1" si="72"/>
        <v>0</v>
      </c>
      <c r="R391" s="19">
        <f t="shared" ca="1" si="73"/>
        <v>560</v>
      </c>
      <c r="S391" s="15">
        <f t="shared" ca="1" si="74"/>
        <v>0</v>
      </c>
    </row>
    <row r="392" spans="9:19">
      <c r="I392" s="15">
        <f t="shared" si="75"/>
        <v>388</v>
      </c>
      <c r="J392" s="16">
        <f t="shared" ca="1" si="76"/>
        <v>220.80546971526076</v>
      </c>
      <c r="K392" s="16">
        <f t="shared" ca="1" si="66"/>
        <v>49.194530284739244</v>
      </c>
      <c r="L392" s="16">
        <f t="shared" ca="1" si="67"/>
        <v>220.80546971526076</v>
      </c>
      <c r="M392" s="17">
        <f t="shared" ca="1" si="68"/>
        <v>245.97265142369622</v>
      </c>
      <c r="N392" s="17">
        <f t="shared" si="69"/>
        <v>20</v>
      </c>
      <c r="O392" s="17">
        <f t="shared" si="70"/>
        <v>-810</v>
      </c>
      <c r="P392" s="18">
        <f t="shared" ca="1" si="71"/>
        <v>-110.40273485763038</v>
      </c>
      <c r="Q392" s="18">
        <f t="shared" ca="1" si="72"/>
        <v>331.20820457289113</v>
      </c>
      <c r="R392" s="19">
        <f t="shared" ca="1" si="73"/>
        <v>-323.22187886104308</v>
      </c>
      <c r="S392" s="15">
        <f t="shared" ca="1" si="74"/>
        <v>1</v>
      </c>
    </row>
    <row r="393" spans="9:19">
      <c r="I393" s="15">
        <f t="shared" si="75"/>
        <v>389</v>
      </c>
      <c r="J393" s="16">
        <f t="shared" ca="1" si="76"/>
        <v>164.59047280878889</v>
      </c>
      <c r="K393" s="16">
        <f t="shared" ca="1" si="66"/>
        <v>105.40952719121111</v>
      </c>
      <c r="L393" s="16">
        <f t="shared" ca="1" si="67"/>
        <v>164.59047280878889</v>
      </c>
      <c r="M393" s="17">
        <f t="shared" ca="1" si="68"/>
        <v>527.0476359560555</v>
      </c>
      <c r="N393" s="17">
        <f t="shared" si="69"/>
        <v>20</v>
      </c>
      <c r="O393" s="17">
        <f t="shared" si="70"/>
        <v>-810</v>
      </c>
      <c r="P393" s="18">
        <f t="shared" ca="1" si="71"/>
        <v>-82.295236404394444</v>
      </c>
      <c r="Q393" s="18">
        <f t="shared" ca="1" si="72"/>
        <v>246.88570921318333</v>
      </c>
      <c r="R393" s="19">
        <f t="shared" ca="1" si="73"/>
        <v>-98.361891235155639</v>
      </c>
      <c r="S393" s="15">
        <f t="shared" ca="1" si="74"/>
        <v>1</v>
      </c>
    </row>
    <row r="394" spans="9:19">
      <c r="I394" s="15">
        <f t="shared" si="75"/>
        <v>390</v>
      </c>
      <c r="J394" s="16">
        <f t="shared" ca="1" si="76"/>
        <v>391.08947690965255</v>
      </c>
      <c r="K394" s="16">
        <f t="shared" ca="1" si="66"/>
        <v>270</v>
      </c>
      <c r="L394" s="16">
        <f t="shared" ca="1" si="67"/>
        <v>0</v>
      </c>
      <c r="M394" s="17">
        <f t="shared" ca="1" si="68"/>
        <v>1350</v>
      </c>
      <c r="N394" s="17">
        <f t="shared" si="69"/>
        <v>20</v>
      </c>
      <c r="O394" s="17">
        <f t="shared" si="70"/>
        <v>-810</v>
      </c>
      <c r="P394" s="18">
        <f t="shared" ca="1" si="71"/>
        <v>0</v>
      </c>
      <c r="Q394" s="18">
        <f t="shared" ca="1" si="72"/>
        <v>0</v>
      </c>
      <c r="R394" s="19">
        <f t="shared" ca="1" si="73"/>
        <v>560</v>
      </c>
      <c r="S394" s="15">
        <f t="shared" ca="1" si="74"/>
        <v>0</v>
      </c>
    </row>
    <row r="395" spans="9:19">
      <c r="I395" s="15">
        <f t="shared" si="75"/>
        <v>391</v>
      </c>
      <c r="J395" s="16">
        <f t="shared" ca="1" si="76"/>
        <v>350.3080547366834</v>
      </c>
      <c r="K395" s="16">
        <f t="shared" ca="1" si="66"/>
        <v>270</v>
      </c>
      <c r="L395" s="16">
        <f t="shared" ca="1" si="67"/>
        <v>0</v>
      </c>
      <c r="M395" s="17">
        <f t="shared" ca="1" si="68"/>
        <v>1350</v>
      </c>
      <c r="N395" s="17">
        <f t="shared" si="69"/>
        <v>20</v>
      </c>
      <c r="O395" s="17">
        <f t="shared" si="70"/>
        <v>-810</v>
      </c>
      <c r="P395" s="18">
        <f t="shared" ca="1" si="71"/>
        <v>0</v>
      </c>
      <c r="Q395" s="18">
        <f t="shared" ca="1" si="72"/>
        <v>0</v>
      </c>
      <c r="R395" s="19">
        <f t="shared" ca="1" si="73"/>
        <v>560</v>
      </c>
      <c r="S395" s="15">
        <f t="shared" ca="1" si="74"/>
        <v>0</v>
      </c>
    </row>
    <row r="396" spans="9:19">
      <c r="I396" s="15">
        <f t="shared" si="75"/>
        <v>392</v>
      </c>
      <c r="J396" s="16">
        <f t="shared" ca="1" si="76"/>
        <v>366.59801495019792</v>
      </c>
      <c r="K396" s="16">
        <f t="shared" ca="1" si="66"/>
        <v>270</v>
      </c>
      <c r="L396" s="16">
        <f t="shared" ca="1" si="67"/>
        <v>0</v>
      </c>
      <c r="M396" s="17">
        <f t="shared" ca="1" si="68"/>
        <v>1350</v>
      </c>
      <c r="N396" s="17">
        <f t="shared" si="69"/>
        <v>20</v>
      </c>
      <c r="O396" s="17">
        <f t="shared" si="70"/>
        <v>-810</v>
      </c>
      <c r="P396" s="18">
        <f t="shared" ca="1" si="71"/>
        <v>0</v>
      </c>
      <c r="Q396" s="18">
        <f t="shared" ca="1" si="72"/>
        <v>0</v>
      </c>
      <c r="R396" s="19">
        <f t="shared" ca="1" si="73"/>
        <v>560</v>
      </c>
      <c r="S396" s="15">
        <f t="shared" ca="1" si="74"/>
        <v>0</v>
      </c>
    </row>
    <row r="397" spans="9:19">
      <c r="I397" s="15">
        <f t="shared" si="75"/>
        <v>393</v>
      </c>
      <c r="J397" s="16">
        <f t="shared" ca="1" si="76"/>
        <v>204.55832404044241</v>
      </c>
      <c r="K397" s="16">
        <f t="shared" ca="1" si="66"/>
        <v>65.441675959557585</v>
      </c>
      <c r="L397" s="16">
        <f t="shared" ca="1" si="67"/>
        <v>204.55832404044241</v>
      </c>
      <c r="M397" s="17">
        <f t="shared" ca="1" si="68"/>
        <v>327.20837979778793</v>
      </c>
      <c r="N397" s="17">
        <f t="shared" si="69"/>
        <v>20</v>
      </c>
      <c r="O397" s="17">
        <f t="shared" si="70"/>
        <v>-810</v>
      </c>
      <c r="P397" s="18">
        <f t="shared" ca="1" si="71"/>
        <v>-102.27916202022121</v>
      </c>
      <c r="Q397" s="18">
        <f t="shared" ca="1" si="72"/>
        <v>306.83748606066365</v>
      </c>
      <c r="R397" s="19">
        <f t="shared" ca="1" si="73"/>
        <v>-258.23329616176966</v>
      </c>
      <c r="S397" s="15">
        <f t="shared" ca="1" si="74"/>
        <v>1</v>
      </c>
    </row>
    <row r="398" spans="9:19">
      <c r="I398" s="15">
        <f t="shared" si="75"/>
        <v>394</v>
      </c>
      <c r="J398" s="16">
        <f t="shared" ca="1" si="76"/>
        <v>176.46061919582309</v>
      </c>
      <c r="K398" s="16">
        <f t="shared" ca="1" si="66"/>
        <v>93.539380804176915</v>
      </c>
      <c r="L398" s="16">
        <f t="shared" ca="1" si="67"/>
        <v>176.46061919582309</v>
      </c>
      <c r="M398" s="17">
        <f t="shared" ca="1" si="68"/>
        <v>467.69690402088457</v>
      </c>
      <c r="N398" s="17">
        <f t="shared" si="69"/>
        <v>20</v>
      </c>
      <c r="O398" s="17">
        <f t="shared" si="70"/>
        <v>-810</v>
      </c>
      <c r="P398" s="18">
        <f t="shared" ca="1" si="71"/>
        <v>-88.230309597911543</v>
      </c>
      <c r="Q398" s="18">
        <f t="shared" ca="1" si="72"/>
        <v>264.69092879373466</v>
      </c>
      <c r="R398" s="19">
        <f t="shared" ca="1" si="73"/>
        <v>-145.84247678329234</v>
      </c>
      <c r="S398" s="15">
        <f t="shared" ca="1" si="74"/>
        <v>1</v>
      </c>
    </row>
    <row r="399" spans="9:19">
      <c r="I399" s="15">
        <f t="shared" si="75"/>
        <v>395</v>
      </c>
      <c r="J399" s="16">
        <f t="shared" ca="1" si="76"/>
        <v>195.69877715024052</v>
      </c>
      <c r="K399" s="16">
        <f t="shared" ca="1" si="66"/>
        <v>74.301222849759483</v>
      </c>
      <c r="L399" s="16">
        <f t="shared" ca="1" si="67"/>
        <v>195.69877715024052</v>
      </c>
      <c r="M399" s="17">
        <f t="shared" ca="1" si="68"/>
        <v>371.50611424879742</v>
      </c>
      <c r="N399" s="17">
        <f t="shared" si="69"/>
        <v>20</v>
      </c>
      <c r="O399" s="17">
        <f t="shared" si="70"/>
        <v>-810</v>
      </c>
      <c r="P399" s="18">
        <f t="shared" ca="1" si="71"/>
        <v>-97.849388575120258</v>
      </c>
      <c r="Q399" s="18">
        <f t="shared" ca="1" si="72"/>
        <v>293.54816572536078</v>
      </c>
      <c r="R399" s="19">
        <f t="shared" ca="1" si="73"/>
        <v>-222.79510860096212</v>
      </c>
      <c r="S399" s="15">
        <f t="shared" ca="1" si="74"/>
        <v>1</v>
      </c>
    </row>
    <row r="400" spans="9:19">
      <c r="I400" s="15">
        <f t="shared" si="75"/>
        <v>396</v>
      </c>
      <c r="J400" s="16">
        <f t="shared" ca="1" si="76"/>
        <v>276.06492980723402</v>
      </c>
      <c r="K400" s="16">
        <f t="shared" ca="1" si="66"/>
        <v>270</v>
      </c>
      <c r="L400" s="16">
        <f t="shared" ca="1" si="67"/>
        <v>0</v>
      </c>
      <c r="M400" s="17">
        <f t="shared" ca="1" si="68"/>
        <v>1350</v>
      </c>
      <c r="N400" s="17">
        <f t="shared" si="69"/>
        <v>20</v>
      </c>
      <c r="O400" s="17">
        <f t="shared" si="70"/>
        <v>-810</v>
      </c>
      <c r="P400" s="18">
        <f t="shared" ca="1" si="71"/>
        <v>0</v>
      </c>
      <c r="Q400" s="18">
        <f t="shared" ca="1" si="72"/>
        <v>0</v>
      </c>
      <c r="R400" s="19">
        <f t="shared" ca="1" si="73"/>
        <v>560</v>
      </c>
      <c r="S400" s="15">
        <f t="shared" ca="1" si="74"/>
        <v>0</v>
      </c>
    </row>
    <row r="401" spans="9:19">
      <c r="I401" s="15">
        <f t="shared" si="75"/>
        <v>397</v>
      </c>
      <c r="J401" s="16">
        <f t="shared" ca="1" si="76"/>
        <v>283.07774967928356</v>
      </c>
      <c r="K401" s="16">
        <f t="shared" ca="1" si="66"/>
        <v>270</v>
      </c>
      <c r="L401" s="16">
        <f t="shared" ca="1" si="67"/>
        <v>0</v>
      </c>
      <c r="M401" s="17">
        <f t="shared" ca="1" si="68"/>
        <v>1350</v>
      </c>
      <c r="N401" s="17">
        <f t="shared" si="69"/>
        <v>20</v>
      </c>
      <c r="O401" s="17">
        <f t="shared" si="70"/>
        <v>-810</v>
      </c>
      <c r="P401" s="18">
        <f t="shared" ca="1" si="71"/>
        <v>0</v>
      </c>
      <c r="Q401" s="18">
        <f t="shared" ca="1" si="72"/>
        <v>0</v>
      </c>
      <c r="R401" s="19">
        <f t="shared" ca="1" si="73"/>
        <v>560</v>
      </c>
      <c r="S401" s="15">
        <f t="shared" ca="1" si="74"/>
        <v>0</v>
      </c>
    </row>
    <row r="402" spans="9:19">
      <c r="I402" s="15">
        <f t="shared" si="75"/>
        <v>398</v>
      </c>
      <c r="J402" s="16">
        <f t="shared" ca="1" si="76"/>
        <v>300.69516400808027</v>
      </c>
      <c r="K402" s="16">
        <f t="shared" ca="1" si="66"/>
        <v>270</v>
      </c>
      <c r="L402" s="16">
        <f t="shared" ca="1" si="67"/>
        <v>0</v>
      </c>
      <c r="M402" s="17">
        <f t="shared" ca="1" si="68"/>
        <v>1350</v>
      </c>
      <c r="N402" s="17">
        <f t="shared" si="69"/>
        <v>20</v>
      </c>
      <c r="O402" s="17">
        <f t="shared" si="70"/>
        <v>-810</v>
      </c>
      <c r="P402" s="18">
        <f t="shared" ca="1" si="71"/>
        <v>0</v>
      </c>
      <c r="Q402" s="18">
        <f t="shared" ca="1" si="72"/>
        <v>0</v>
      </c>
      <c r="R402" s="19">
        <f t="shared" ca="1" si="73"/>
        <v>560</v>
      </c>
      <c r="S402" s="15">
        <f t="shared" ca="1" si="74"/>
        <v>0</v>
      </c>
    </row>
    <row r="403" spans="9:19">
      <c r="I403" s="15">
        <f t="shared" si="75"/>
        <v>399</v>
      </c>
      <c r="J403" s="16">
        <f t="shared" ca="1" si="76"/>
        <v>256.74434602159289</v>
      </c>
      <c r="K403" s="16">
        <f t="shared" ca="1" si="66"/>
        <v>13.255653978407111</v>
      </c>
      <c r="L403" s="16">
        <f t="shared" ca="1" si="67"/>
        <v>256.74434602159289</v>
      </c>
      <c r="M403" s="17">
        <f t="shared" ca="1" si="68"/>
        <v>66.278269892035553</v>
      </c>
      <c r="N403" s="17">
        <f t="shared" si="69"/>
        <v>20</v>
      </c>
      <c r="O403" s="17">
        <f t="shared" si="70"/>
        <v>-810</v>
      </c>
      <c r="P403" s="18">
        <f t="shared" ca="1" si="71"/>
        <v>-128.37217301079644</v>
      </c>
      <c r="Q403" s="18">
        <f t="shared" ca="1" si="72"/>
        <v>385.11651903238931</v>
      </c>
      <c r="R403" s="19">
        <f t="shared" ca="1" si="73"/>
        <v>-466.97738408637167</v>
      </c>
      <c r="S403" s="15">
        <f t="shared" ca="1" si="74"/>
        <v>1</v>
      </c>
    </row>
    <row r="404" spans="9:19">
      <c r="I404" s="15">
        <f t="shared" si="75"/>
        <v>400</v>
      </c>
      <c r="J404" s="16">
        <f t="shared" ca="1" si="76"/>
        <v>298.48014133969235</v>
      </c>
      <c r="K404" s="16">
        <f t="shared" ca="1" si="66"/>
        <v>270</v>
      </c>
      <c r="L404" s="16">
        <f t="shared" ca="1" si="67"/>
        <v>0</v>
      </c>
      <c r="M404" s="17">
        <f t="shared" ca="1" si="68"/>
        <v>1350</v>
      </c>
      <c r="N404" s="17">
        <f t="shared" si="69"/>
        <v>20</v>
      </c>
      <c r="O404" s="17">
        <f t="shared" si="70"/>
        <v>-810</v>
      </c>
      <c r="P404" s="18">
        <f t="shared" ca="1" si="71"/>
        <v>0</v>
      </c>
      <c r="Q404" s="18">
        <f t="shared" ca="1" si="72"/>
        <v>0</v>
      </c>
      <c r="R404" s="19">
        <f t="shared" ca="1" si="73"/>
        <v>560</v>
      </c>
      <c r="S404" s="15">
        <f t="shared" ca="1" si="74"/>
        <v>0</v>
      </c>
    </row>
    <row r="405" spans="9:19">
      <c r="I405" s="15">
        <f t="shared" si="75"/>
        <v>401</v>
      </c>
      <c r="J405" s="16">
        <f t="shared" ca="1" si="76"/>
        <v>195.3062765574785</v>
      </c>
      <c r="K405" s="16">
        <f t="shared" ca="1" si="66"/>
        <v>74.693723442521502</v>
      </c>
      <c r="L405" s="16">
        <f t="shared" ca="1" si="67"/>
        <v>195.3062765574785</v>
      </c>
      <c r="M405" s="17">
        <f t="shared" ca="1" si="68"/>
        <v>373.46861721260751</v>
      </c>
      <c r="N405" s="17">
        <f t="shared" si="69"/>
        <v>20</v>
      </c>
      <c r="O405" s="17">
        <f t="shared" si="70"/>
        <v>-810</v>
      </c>
      <c r="P405" s="18">
        <f t="shared" ca="1" si="71"/>
        <v>-97.653138278739249</v>
      </c>
      <c r="Q405" s="18">
        <f t="shared" ca="1" si="72"/>
        <v>292.95941483621777</v>
      </c>
      <c r="R405" s="19">
        <f t="shared" ca="1" si="73"/>
        <v>-221.22510622991399</v>
      </c>
      <c r="S405" s="15">
        <f t="shared" ca="1" si="74"/>
        <v>1</v>
      </c>
    </row>
    <row r="406" spans="9:19">
      <c r="I406" s="15">
        <f t="shared" si="75"/>
        <v>402</v>
      </c>
      <c r="J406" s="16">
        <f t="shared" ca="1" si="76"/>
        <v>203.31136486587502</v>
      </c>
      <c r="K406" s="16">
        <f t="shared" ca="1" si="66"/>
        <v>66.688635134124979</v>
      </c>
      <c r="L406" s="16">
        <f t="shared" ca="1" si="67"/>
        <v>203.31136486587502</v>
      </c>
      <c r="M406" s="17">
        <f t="shared" ca="1" si="68"/>
        <v>333.4431756706249</v>
      </c>
      <c r="N406" s="17">
        <f t="shared" si="69"/>
        <v>20</v>
      </c>
      <c r="O406" s="17">
        <f t="shared" si="70"/>
        <v>-810</v>
      </c>
      <c r="P406" s="18">
        <f t="shared" ca="1" si="71"/>
        <v>-101.65568243293751</v>
      </c>
      <c r="Q406" s="18">
        <f t="shared" ca="1" si="72"/>
        <v>304.96704729881253</v>
      </c>
      <c r="R406" s="19">
        <f t="shared" ca="1" si="73"/>
        <v>-253.24545946350008</v>
      </c>
      <c r="S406" s="15">
        <f t="shared" ca="1" si="74"/>
        <v>1</v>
      </c>
    </row>
    <row r="407" spans="9:19">
      <c r="I407" s="15">
        <f t="shared" si="75"/>
        <v>403</v>
      </c>
      <c r="J407" s="16">
        <f t="shared" ca="1" si="76"/>
        <v>361.81680507017768</v>
      </c>
      <c r="K407" s="16">
        <f t="shared" ca="1" si="66"/>
        <v>270</v>
      </c>
      <c r="L407" s="16">
        <f t="shared" ca="1" si="67"/>
        <v>0</v>
      </c>
      <c r="M407" s="17">
        <f t="shared" ca="1" si="68"/>
        <v>1350</v>
      </c>
      <c r="N407" s="17">
        <f t="shared" si="69"/>
        <v>20</v>
      </c>
      <c r="O407" s="17">
        <f t="shared" si="70"/>
        <v>-810</v>
      </c>
      <c r="P407" s="18">
        <f t="shared" ca="1" si="71"/>
        <v>0</v>
      </c>
      <c r="Q407" s="18">
        <f t="shared" ca="1" si="72"/>
        <v>0</v>
      </c>
      <c r="R407" s="19">
        <f t="shared" ca="1" si="73"/>
        <v>560</v>
      </c>
      <c r="S407" s="15">
        <f t="shared" ca="1" si="74"/>
        <v>0</v>
      </c>
    </row>
    <row r="408" spans="9:19">
      <c r="I408" s="15">
        <f t="shared" si="75"/>
        <v>404</v>
      </c>
      <c r="J408" s="16">
        <f t="shared" ca="1" si="76"/>
        <v>391.69560662452824</v>
      </c>
      <c r="K408" s="16">
        <f t="shared" ca="1" si="66"/>
        <v>270</v>
      </c>
      <c r="L408" s="16">
        <f t="shared" ca="1" si="67"/>
        <v>0</v>
      </c>
      <c r="M408" s="17">
        <f t="shared" ca="1" si="68"/>
        <v>1350</v>
      </c>
      <c r="N408" s="17">
        <f t="shared" si="69"/>
        <v>20</v>
      </c>
      <c r="O408" s="17">
        <f t="shared" si="70"/>
        <v>-810</v>
      </c>
      <c r="P408" s="18">
        <f t="shared" ca="1" si="71"/>
        <v>0</v>
      </c>
      <c r="Q408" s="18">
        <f t="shared" ca="1" si="72"/>
        <v>0</v>
      </c>
      <c r="R408" s="19">
        <f t="shared" ca="1" si="73"/>
        <v>560</v>
      </c>
      <c r="S408" s="15">
        <f t="shared" ca="1" si="74"/>
        <v>0</v>
      </c>
    </row>
    <row r="409" spans="9:19">
      <c r="I409" s="15">
        <f t="shared" si="75"/>
        <v>405</v>
      </c>
      <c r="J409" s="16">
        <f t="shared" ca="1" si="76"/>
        <v>249.15571623496118</v>
      </c>
      <c r="K409" s="16">
        <f t="shared" ca="1" si="66"/>
        <v>20.844283765038824</v>
      </c>
      <c r="L409" s="16">
        <f t="shared" ca="1" si="67"/>
        <v>249.15571623496118</v>
      </c>
      <c r="M409" s="17">
        <f t="shared" ca="1" si="68"/>
        <v>104.22141882519412</v>
      </c>
      <c r="N409" s="17">
        <f t="shared" si="69"/>
        <v>20</v>
      </c>
      <c r="O409" s="17">
        <f t="shared" si="70"/>
        <v>-810</v>
      </c>
      <c r="P409" s="18">
        <f t="shared" ca="1" si="71"/>
        <v>-124.57785811748059</v>
      </c>
      <c r="Q409" s="18">
        <f t="shared" ca="1" si="72"/>
        <v>373.73357435244179</v>
      </c>
      <c r="R409" s="19">
        <f t="shared" ca="1" si="73"/>
        <v>-436.62286493984459</v>
      </c>
      <c r="S409" s="15">
        <f t="shared" ca="1" si="74"/>
        <v>1</v>
      </c>
    </row>
    <row r="410" spans="9:19">
      <c r="I410" s="15">
        <f t="shared" si="75"/>
        <v>406</v>
      </c>
      <c r="J410" s="16">
        <f t="shared" ca="1" si="76"/>
        <v>149.61342481777859</v>
      </c>
      <c r="K410" s="16">
        <f t="shared" ca="1" si="66"/>
        <v>120.38657518222141</v>
      </c>
      <c r="L410" s="16">
        <f t="shared" ca="1" si="67"/>
        <v>149.61342481777859</v>
      </c>
      <c r="M410" s="17">
        <f t="shared" ca="1" si="68"/>
        <v>601.93287591110698</v>
      </c>
      <c r="N410" s="17">
        <f t="shared" si="69"/>
        <v>20</v>
      </c>
      <c r="O410" s="17">
        <f t="shared" si="70"/>
        <v>-810</v>
      </c>
      <c r="P410" s="18">
        <f t="shared" ca="1" si="71"/>
        <v>-74.806712408889297</v>
      </c>
      <c r="Q410" s="18">
        <f t="shared" ca="1" si="72"/>
        <v>224.42013722666789</v>
      </c>
      <c r="R410" s="19">
        <f t="shared" ca="1" si="73"/>
        <v>-38.453699271114459</v>
      </c>
      <c r="S410" s="15">
        <f t="shared" ca="1" si="74"/>
        <v>1</v>
      </c>
    </row>
    <row r="411" spans="9:19">
      <c r="I411" s="15">
        <f t="shared" si="75"/>
        <v>407</v>
      </c>
      <c r="J411" s="16">
        <f t="shared" ca="1" si="76"/>
        <v>379.56107147128387</v>
      </c>
      <c r="K411" s="16">
        <f t="shared" ca="1" si="66"/>
        <v>270</v>
      </c>
      <c r="L411" s="16">
        <f t="shared" ca="1" si="67"/>
        <v>0</v>
      </c>
      <c r="M411" s="17">
        <f t="shared" ca="1" si="68"/>
        <v>1350</v>
      </c>
      <c r="N411" s="17">
        <f t="shared" si="69"/>
        <v>20</v>
      </c>
      <c r="O411" s="17">
        <f t="shared" si="70"/>
        <v>-810</v>
      </c>
      <c r="P411" s="18">
        <f t="shared" ca="1" si="71"/>
        <v>0</v>
      </c>
      <c r="Q411" s="18">
        <f t="shared" ca="1" si="72"/>
        <v>0</v>
      </c>
      <c r="R411" s="19">
        <f t="shared" ca="1" si="73"/>
        <v>560</v>
      </c>
      <c r="S411" s="15">
        <f t="shared" ca="1" si="74"/>
        <v>0</v>
      </c>
    </row>
    <row r="412" spans="9:19">
      <c r="I412" s="15">
        <f t="shared" si="75"/>
        <v>408</v>
      </c>
      <c r="J412" s="16">
        <f t="shared" ca="1" si="76"/>
        <v>264.60449031151899</v>
      </c>
      <c r="K412" s="16">
        <f t="shared" ca="1" si="66"/>
        <v>5.3955096884810132</v>
      </c>
      <c r="L412" s="16">
        <f t="shared" ca="1" si="67"/>
        <v>264.60449031151899</v>
      </c>
      <c r="M412" s="17">
        <f t="shared" ca="1" si="68"/>
        <v>26.977548442405066</v>
      </c>
      <c r="N412" s="17">
        <f t="shared" si="69"/>
        <v>20</v>
      </c>
      <c r="O412" s="17">
        <f t="shared" si="70"/>
        <v>-810</v>
      </c>
      <c r="P412" s="18">
        <f t="shared" ca="1" si="71"/>
        <v>-132.30224515575949</v>
      </c>
      <c r="Q412" s="18">
        <f t="shared" ca="1" si="72"/>
        <v>396.90673546727851</v>
      </c>
      <c r="R412" s="19">
        <f t="shared" ca="1" si="73"/>
        <v>-498.41796124607583</v>
      </c>
      <c r="S412" s="15">
        <f t="shared" ca="1" si="74"/>
        <v>1</v>
      </c>
    </row>
    <row r="413" spans="9:19">
      <c r="I413" s="15">
        <f t="shared" si="75"/>
        <v>409</v>
      </c>
      <c r="J413" s="16">
        <f t="shared" ca="1" si="76"/>
        <v>371.40635175452417</v>
      </c>
      <c r="K413" s="16">
        <f t="shared" ca="1" si="66"/>
        <v>270</v>
      </c>
      <c r="L413" s="16">
        <f t="shared" ca="1" si="67"/>
        <v>0</v>
      </c>
      <c r="M413" s="17">
        <f t="shared" ca="1" si="68"/>
        <v>1350</v>
      </c>
      <c r="N413" s="17">
        <f t="shared" si="69"/>
        <v>20</v>
      </c>
      <c r="O413" s="17">
        <f t="shared" si="70"/>
        <v>-810</v>
      </c>
      <c r="P413" s="18">
        <f t="shared" ca="1" si="71"/>
        <v>0</v>
      </c>
      <c r="Q413" s="18">
        <f t="shared" ca="1" si="72"/>
        <v>0</v>
      </c>
      <c r="R413" s="19">
        <f t="shared" ca="1" si="73"/>
        <v>560</v>
      </c>
      <c r="S413" s="15">
        <f t="shared" ca="1" si="74"/>
        <v>0</v>
      </c>
    </row>
    <row r="414" spans="9:19">
      <c r="I414" s="15">
        <f t="shared" si="75"/>
        <v>410</v>
      </c>
      <c r="J414" s="16">
        <f t="shared" ca="1" si="76"/>
        <v>133.07577950373866</v>
      </c>
      <c r="K414" s="16">
        <f t="shared" ca="1" si="66"/>
        <v>136.92422049626134</v>
      </c>
      <c r="L414" s="16">
        <f t="shared" ca="1" si="67"/>
        <v>133.07577950373866</v>
      </c>
      <c r="M414" s="17">
        <f t="shared" ca="1" si="68"/>
        <v>684.62110248130671</v>
      </c>
      <c r="N414" s="17">
        <f t="shared" si="69"/>
        <v>20</v>
      </c>
      <c r="O414" s="17">
        <f t="shared" si="70"/>
        <v>-810</v>
      </c>
      <c r="P414" s="18">
        <f t="shared" ca="1" si="71"/>
        <v>-66.537889751869329</v>
      </c>
      <c r="Q414" s="18">
        <f t="shared" ca="1" si="72"/>
        <v>199.61366925560799</v>
      </c>
      <c r="R414" s="19">
        <f t="shared" ca="1" si="73"/>
        <v>27.696881985045366</v>
      </c>
      <c r="S414" s="15">
        <f t="shared" ca="1" si="74"/>
        <v>0</v>
      </c>
    </row>
    <row r="415" spans="9:19">
      <c r="I415" s="15">
        <f t="shared" si="75"/>
        <v>411</v>
      </c>
      <c r="J415" s="16">
        <f t="shared" ca="1" si="76"/>
        <v>258.48665411170293</v>
      </c>
      <c r="K415" s="16">
        <f t="shared" ca="1" si="66"/>
        <v>11.513345888297067</v>
      </c>
      <c r="L415" s="16">
        <f t="shared" ca="1" si="67"/>
        <v>258.48665411170293</v>
      </c>
      <c r="M415" s="17">
        <f t="shared" ca="1" si="68"/>
        <v>57.566729441485336</v>
      </c>
      <c r="N415" s="17">
        <f t="shared" si="69"/>
        <v>20</v>
      </c>
      <c r="O415" s="17">
        <f t="shared" si="70"/>
        <v>-810</v>
      </c>
      <c r="P415" s="18">
        <f t="shared" ca="1" si="71"/>
        <v>-129.24332705585147</v>
      </c>
      <c r="Q415" s="18">
        <f t="shared" ca="1" si="72"/>
        <v>387.7299811675544</v>
      </c>
      <c r="R415" s="19">
        <f t="shared" ca="1" si="73"/>
        <v>-473.94661644681167</v>
      </c>
      <c r="S415" s="15">
        <f t="shared" ca="1" si="74"/>
        <v>1</v>
      </c>
    </row>
    <row r="416" spans="9:19">
      <c r="I416" s="15">
        <f t="shared" si="75"/>
        <v>412</v>
      </c>
      <c r="J416" s="16">
        <f t="shared" ca="1" si="76"/>
        <v>314.64876486138286</v>
      </c>
      <c r="K416" s="16">
        <f t="shared" ca="1" si="66"/>
        <v>270</v>
      </c>
      <c r="L416" s="16">
        <f t="shared" ca="1" si="67"/>
        <v>0</v>
      </c>
      <c r="M416" s="17">
        <f t="shared" ca="1" si="68"/>
        <v>1350</v>
      </c>
      <c r="N416" s="17">
        <f t="shared" si="69"/>
        <v>20</v>
      </c>
      <c r="O416" s="17">
        <f t="shared" si="70"/>
        <v>-810</v>
      </c>
      <c r="P416" s="18">
        <f t="shared" ca="1" si="71"/>
        <v>0</v>
      </c>
      <c r="Q416" s="18">
        <f t="shared" ca="1" si="72"/>
        <v>0</v>
      </c>
      <c r="R416" s="19">
        <f t="shared" ca="1" si="73"/>
        <v>560</v>
      </c>
      <c r="S416" s="15">
        <f t="shared" ca="1" si="74"/>
        <v>0</v>
      </c>
    </row>
    <row r="417" spans="9:19">
      <c r="I417" s="15">
        <f t="shared" si="75"/>
        <v>413</v>
      </c>
      <c r="J417" s="16">
        <f t="shared" ca="1" si="76"/>
        <v>351.22172464536845</v>
      </c>
      <c r="K417" s="16">
        <f t="shared" ca="1" si="66"/>
        <v>270</v>
      </c>
      <c r="L417" s="16">
        <f t="shared" ca="1" si="67"/>
        <v>0</v>
      </c>
      <c r="M417" s="17">
        <f t="shared" ca="1" si="68"/>
        <v>1350</v>
      </c>
      <c r="N417" s="17">
        <f t="shared" si="69"/>
        <v>20</v>
      </c>
      <c r="O417" s="17">
        <f t="shared" si="70"/>
        <v>-810</v>
      </c>
      <c r="P417" s="18">
        <f t="shared" ca="1" si="71"/>
        <v>0</v>
      </c>
      <c r="Q417" s="18">
        <f t="shared" ca="1" si="72"/>
        <v>0</v>
      </c>
      <c r="R417" s="19">
        <f t="shared" ca="1" si="73"/>
        <v>560</v>
      </c>
      <c r="S417" s="15">
        <f t="shared" ca="1" si="74"/>
        <v>0</v>
      </c>
    </row>
    <row r="418" spans="9:19">
      <c r="I418" s="15">
        <f t="shared" si="75"/>
        <v>414</v>
      </c>
      <c r="J418" s="16">
        <f t="shared" ca="1" si="76"/>
        <v>280.24399697285389</v>
      </c>
      <c r="K418" s="16">
        <f t="shared" ca="1" si="66"/>
        <v>270</v>
      </c>
      <c r="L418" s="16">
        <f t="shared" ca="1" si="67"/>
        <v>0</v>
      </c>
      <c r="M418" s="17">
        <f t="shared" ca="1" si="68"/>
        <v>1350</v>
      </c>
      <c r="N418" s="17">
        <f t="shared" si="69"/>
        <v>20</v>
      </c>
      <c r="O418" s="17">
        <f t="shared" si="70"/>
        <v>-810</v>
      </c>
      <c r="P418" s="18">
        <f t="shared" ca="1" si="71"/>
        <v>0</v>
      </c>
      <c r="Q418" s="18">
        <f t="shared" ca="1" si="72"/>
        <v>0</v>
      </c>
      <c r="R418" s="19">
        <f t="shared" ca="1" si="73"/>
        <v>560</v>
      </c>
      <c r="S418" s="15">
        <f t="shared" ca="1" si="74"/>
        <v>0</v>
      </c>
    </row>
    <row r="419" spans="9:19">
      <c r="I419" s="15">
        <f t="shared" si="75"/>
        <v>415</v>
      </c>
      <c r="J419" s="16">
        <f t="shared" ca="1" si="76"/>
        <v>288.22553855133555</v>
      </c>
      <c r="K419" s="16">
        <f t="shared" ca="1" si="66"/>
        <v>270</v>
      </c>
      <c r="L419" s="16">
        <f t="shared" ca="1" si="67"/>
        <v>0</v>
      </c>
      <c r="M419" s="17">
        <f t="shared" ca="1" si="68"/>
        <v>1350</v>
      </c>
      <c r="N419" s="17">
        <f t="shared" si="69"/>
        <v>20</v>
      </c>
      <c r="O419" s="17">
        <f t="shared" si="70"/>
        <v>-810</v>
      </c>
      <c r="P419" s="18">
        <f t="shared" ca="1" si="71"/>
        <v>0</v>
      </c>
      <c r="Q419" s="18">
        <f t="shared" ca="1" si="72"/>
        <v>0</v>
      </c>
      <c r="R419" s="19">
        <f t="shared" ca="1" si="73"/>
        <v>560</v>
      </c>
      <c r="S419" s="15">
        <f t="shared" ca="1" si="74"/>
        <v>0</v>
      </c>
    </row>
    <row r="420" spans="9:19">
      <c r="I420" s="15">
        <f t="shared" si="75"/>
        <v>416</v>
      </c>
      <c r="J420" s="16">
        <f t="shared" ca="1" si="76"/>
        <v>396.73977767167673</v>
      </c>
      <c r="K420" s="16">
        <f t="shared" ca="1" si="66"/>
        <v>270</v>
      </c>
      <c r="L420" s="16">
        <f t="shared" ca="1" si="67"/>
        <v>0</v>
      </c>
      <c r="M420" s="17">
        <f t="shared" ca="1" si="68"/>
        <v>1350</v>
      </c>
      <c r="N420" s="17">
        <f t="shared" si="69"/>
        <v>20</v>
      </c>
      <c r="O420" s="17">
        <f t="shared" si="70"/>
        <v>-810</v>
      </c>
      <c r="P420" s="18">
        <f t="shared" ca="1" si="71"/>
        <v>0</v>
      </c>
      <c r="Q420" s="18">
        <f t="shared" ca="1" si="72"/>
        <v>0</v>
      </c>
      <c r="R420" s="19">
        <f t="shared" ca="1" si="73"/>
        <v>560</v>
      </c>
      <c r="S420" s="15">
        <f t="shared" ca="1" si="74"/>
        <v>0</v>
      </c>
    </row>
    <row r="421" spans="9:19">
      <c r="I421" s="15">
        <f t="shared" si="75"/>
        <v>417</v>
      </c>
      <c r="J421" s="16">
        <f t="shared" ca="1" si="76"/>
        <v>124.90417036438535</v>
      </c>
      <c r="K421" s="16">
        <f t="shared" ca="1" si="66"/>
        <v>145.09582963561465</v>
      </c>
      <c r="L421" s="16">
        <f t="shared" ca="1" si="67"/>
        <v>124.90417036438535</v>
      </c>
      <c r="M421" s="17">
        <f t="shared" ca="1" si="68"/>
        <v>725.47914817807327</v>
      </c>
      <c r="N421" s="17">
        <f t="shared" si="69"/>
        <v>20</v>
      </c>
      <c r="O421" s="17">
        <f t="shared" si="70"/>
        <v>-810</v>
      </c>
      <c r="P421" s="18">
        <f t="shared" ca="1" si="71"/>
        <v>-62.452085182192675</v>
      </c>
      <c r="Q421" s="18">
        <f t="shared" ca="1" si="72"/>
        <v>187.35625554657804</v>
      </c>
      <c r="R421" s="19">
        <f t="shared" ca="1" si="73"/>
        <v>60.383318542458639</v>
      </c>
      <c r="S421" s="15">
        <f t="shared" ca="1" si="74"/>
        <v>0</v>
      </c>
    </row>
    <row r="422" spans="9:19">
      <c r="I422" s="15">
        <f t="shared" si="75"/>
        <v>418</v>
      </c>
      <c r="J422" s="16">
        <f t="shared" ca="1" si="76"/>
        <v>129.91869294051884</v>
      </c>
      <c r="K422" s="16">
        <f t="shared" ca="1" si="66"/>
        <v>140.08130705948116</v>
      </c>
      <c r="L422" s="16">
        <f t="shared" ca="1" si="67"/>
        <v>129.91869294051884</v>
      </c>
      <c r="M422" s="17">
        <f t="shared" ca="1" si="68"/>
        <v>700.40653529740575</v>
      </c>
      <c r="N422" s="17">
        <f t="shared" si="69"/>
        <v>20</v>
      </c>
      <c r="O422" s="17">
        <f t="shared" si="70"/>
        <v>-810</v>
      </c>
      <c r="P422" s="18">
        <f t="shared" ca="1" si="71"/>
        <v>-64.959346470259419</v>
      </c>
      <c r="Q422" s="18">
        <f t="shared" ca="1" si="72"/>
        <v>194.87803941077826</v>
      </c>
      <c r="R422" s="19">
        <f t="shared" ca="1" si="73"/>
        <v>40.325228237924591</v>
      </c>
      <c r="S422" s="15">
        <f t="shared" ca="1" si="74"/>
        <v>0</v>
      </c>
    </row>
    <row r="423" spans="9:19">
      <c r="I423" s="15">
        <f t="shared" si="75"/>
        <v>419</v>
      </c>
      <c r="J423" s="16">
        <f t="shared" ca="1" si="76"/>
        <v>383.89528263962586</v>
      </c>
      <c r="K423" s="16">
        <f t="shared" ca="1" si="66"/>
        <v>270</v>
      </c>
      <c r="L423" s="16">
        <f t="shared" ca="1" si="67"/>
        <v>0</v>
      </c>
      <c r="M423" s="17">
        <f t="shared" ca="1" si="68"/>
        <v>1350</v>
      </c>
      <c r="N423" s="17">
        <f t="shared" si="69"/>
        <v>20</v>
      </c>
      <c r="O423" s="17">
        <f t="shared" si="70"/>
        <v>-810</v>
      </c>
      <c r="P423" s="18">
        <f t="shared" ca="1" si="71"/>
        <v>0</v>
      </c>
      <c r="Q423" s="18">
        <f t="shared" ca="1" si="72"/>
        <v>0</v>
      </c>
      <c r="R423" s="19">
        <f t="shared" ca="1" si="73"/>
        <v>560</v>
      </c>
      <c r="S423" s="15">
        <f t="shared" ca="1" si="74"/>
        <v>0</v>
      </c>
    </row>
    <row r="424" spans="9:19">
      <c r="I424" s="15">
        <f t="shared" si="75"/>
        <v>420</v>
      </c>
      <c r="J424" s="16">
        <f t="shared" ca="1" si="76"/>
        <v>322.01824425650557</v>
      </c>
      <c r="K424" s="16">
        <f t="shared" ca="1" si="66"/>
        <v>270</v>
      </c>
      <c r="L424" s="16">
        <f t="shared" ca="1" si="67"/>
        <v>0</v>
      </c>
      <c r="M424" s="17">
        <f t="shared" ca="1" si="68"/>
        <v>1350</v>
      </c>
      <c r="N424" s="17">
        <f t="shared" si="69"/>
        <v>20</v>
      </c>
      <c r="O424" s="17">
        <f t="shared" si="70"/>
        <v>-810</v>
      </c>
      <c r="P424" s="18">
        <f t="shared" ca="1" si="71"/>
        <v>0</v>
      </c>
      <c r="Q424" s="18">
        <f t="shared" ca="1" si="72"/>
        <v>0</v>
      </c>
      <c r="R424" s="19">
        <f t="shared" ca="1" si="73"/>
        <v>560</v>
      </c>
      <c r="S424" s="15">
        <f t="shared" ca="1" si="74"/>
        <v>0</v>
      </c>
    </row>
    <row r="425" spans="9:19">
      <c r="I425" s="15">
        <f t="shared" si="75"/>
        <v>421</v>
      </c>
      <c r="J425" s="16">
        <f t="shared" ca="1" si="76"/>
        <v>402.69289208902796</v>
      </c>
      <c r="K425" s="16">
        <f t="shared" ca="1" si="66"/>
        <v>270</v>
      </c>
      <c r="L425" s="16">
        <f t="shared" ca="1" si="67"/>
        <v>0</v>
      </c>
      <c r="M425" s="17">
        <f t="shared" ca="1" si="68"/>
        <v>1350</v>
      </c>
      <c r="N425" s="17">
        <f t="shared" si="69"/>
        <v>20</v>
      </c>
      <c r="O425" s="17">
        <f t="shared" si="70"/>
        <v>-810</v>
      </c>
      <c r="P425" s="18">
        <f t="shared" ca="1" si="71"/>
        <v>0</v>
      </c>
      <c r="Q425" s="18">
        <f t="shared" ca="1" si="72"/>
        <v>0</v>
      </c>
      <c r="R425" s="19">
        <f t="shared" ca="1" si="73"/>
        <v>560</v>
      </c>
      <c r="S425" s="15">
        <f t="shared" ca="1" si="74"/>
        <v>0</v>
      </c>
    </row>
    <row r="426" spans="9:19">
      <c r="I426" s="15">
        <f t="shared" si="75"/>
        <v>422</v>
      </c>
      <c r="J426" s="16">
        <f t="shared" ca="1" si="76"/>
        <v>143.24083942431542</v>
      </c>
      <c r="K426" s="16">
        <f t="shared" ca="1" si="66"/>
        <v>126.75916057568458</v>
      </c>
      <c r="L426" s="16">
        <f t="shared" ca="1" si="67"/>
        <v>143.24083942431542</v>
      </c>
      <c r="M426" s="17">
        <f t="shared" ca="1" si="68"/>
        <v>633.79580287842282</v>
      </c>
      <c r="N426" s="17">
        <f t="shared" si="69"/>
        <v>20</v>
      </c>
      <c r="O426" s="17">
        <f t="shared" si="70"/>
        <v>-810</v>
      </c>
      <c r="P426" s="18">
        <f t="shared" ca="1" si="71"/>
        <v>-71.620419712157712</v>
      </c>
      <c r="Q426" s="18">
        <f t="shared" ca="1" si="72"/>
        <v>214.86125913647314</v>
      </c>
      <c r="R426" s="19">
        <f t="shared" ca="1" si="73"/>
        <v>-12.963357697261756</v>
      </c>
      <c r="S426" s="15">
        <f t="shared" ca="1" si="74"/>
        <v>1</v>
      </c>
    </row>
    <row r="427" spans="9:19">
      <c r="I427" s="15">
        <f t="shared" si="75"/>
        <v>423</v>
      </c>
      <c r="J427" s="16">
        <f t="shared" ca="1" si="76"/>
        <v>155.01206525800808</v>
      </c>
      <c r="K427" s="16">
        <f t="shared" ca="1" si="66"/>
        <v>114.98793474199192</v>
      </c>
      <c r="L427" s="16">
        <f t="shared" ca="1" si="67"/>
        <v>155.01206525800808</v>
      </c>
      <c r="M427" s="17">
        <f t="shared" ca="1" si="68"/>
        <v>574.93967370995961</v>
      </c>
      <c r="N427" s="17">
        <f t="shared" si="69"/>
        <v>20</v>
      </c>
      <c r="O427" s="17">
        <f t="shared" si="70"/>
        <v>-810</v>
      </c>
      <c r="P427" s="18">
        <f t="shared" ca="1" si="71"/>
        <v>-77.506032629004039</v>
      </c>
      <c r="Q427" s="18">
        <f t="shared" ca="1" si="72"/>
        <v>232.51809788701212</v>
      </c>
      <c r="R427" s="19">
        <f t="shared" ca="1" si="73"/>
        <v>-60.048261032032315</v>
      </c>
      <c r="S427" s="15">
        <f t="shared" ca="1" si="74"/>
        <v>1</v>
      </c>
    </row>
    <row r="428" spans="9:19">
      <c r="I428" s="15">
        <f t="shared" si="75"/>
        <v>424</v>
      </c>
      <c r="J428" s="16">
        <f t="shared" ca="1" si="76"/>
        <v>224.02362773536549</v>
      </c>
      <c r="K428" s="16">
        <f t="shared" ca="1" si="66"/>
        <v>45.976372264634506</v>
      </c>
      <c r="L428" s="16">
        <f t="shared" ca="1" si="67"/>
        <v>224.02362773536549</v>
      </c>
      <c r="M428" s="17">
        <f t="shared" ca="1" si="68"/>
        <v>229.88186132317253</v>
      </c>
      <c r="N428" s="17">
        <f t="shared" si="69"/>
        <v>20</v>
      </c>
      <c r="O428" s="17">
        <f t="shared" si="70"/>
        <v>-810</v>
      </c>
      <c r="P428" s="18">
        <f t="shared" ca="1" si="71"/>
        <v>-112.01181386768275</v>
      </c>
      <c r="Q428" s="18">
        <f t="shared" ca="1" si="72"/>
        <v>336.03544160304824</v>
      </c>
      <c r="R428" s="19">
        <f t="shared" ca="1" si="73"/>
        <v>-336.09451094146192</v>
      </c>
      <c r="S428" s="15">
        <f t="shared" ca="1" si="74"/>
        <v>1</v>
      </c>
    </row>
    <row r="429" spans="9:19">
      <c r="I429" s="15">
        <f t="shared" si="75"/>
        <v>425</v>
      </c>
      <c r="J429" s="16">
        <f t="shared" ca="1" si="76"/>
        <v>284.74360440742146</v>
      </c>
      <c r="K429" s="16">
        <f t="shared" ca="1" si="66"/>
        <v>270</v>
      </c>
      <c r="L429" s="16">
        <f t="shared" ca="1" si="67"/>
        <v>0</v>
      </c>
      <c r="M429" s="17">
        <f t="shared" ca="1" si="68"/>
        <v>1350</v>
      </c>
      <c r="N429" s="17">
        <f t="shared" si="69"/>
        <v>20</v>
      </c>
      <c r="O429" s="17">
        <f t="shared" si="70"/>
        <v>-810</v>
      </c>
      <c r="P429" s="18">
        <f t="shared" ca="1" si="71"/>
        <v>0</v>
      </c>
      <c r="Q429" s="18">
        <f t="shared" ca="1" si="72"/>
        <v>0</v>
      </c>
      <c r="R429" s="19">
        <f t="shared" ca="1" si="73"/>
        <v>560</v>
      </c>
      <c r="S429" s="15">
        <f t="shared" ca="1" si="74"/>
        <v>0</v>
      </c>
    </row>
    <row r="430" spans="9:19">
      <c r="I430" s="15">
        <f t="shared" si="75"/>
        <v>426</v>
      </c>
      <c r="J430" s="16">
        <f t="shared" ca="1" si="76"/>
        <v>291.45578810214045</v>
      </c>
      <c r="K430" s="16">
        <f t="shared" ca="1" si="66"/>
        <v>270</v>
      </c>
      <c r="L430" s="16">
        <f t="shared" ca="1" si="67"/>
        <v>0</v>
      </c>
      <c r="M430" s="17">
        <f t="shared" ca="1" si="68"/>
        <v>1350</v>
      </c>
      <c r="N430" s="17">
        <f t="shared" si="69"/>
        <v>20</v>
      </c>
      <c r="O430" s="17">
        <f t="shared" si="70"/>
        <v>-810</v>
      </c>
      <c r="P430" s="18">
        <f t="shared" ca="1" si="71"/>
        <v>0</v>
      </c>
      <c r="Q430" s="18">
        <f t="shared" ca="1" si="72"/>
        <v>0</v>
      </c>
      <c r="R430" s="19">
        <f t="shared" ca="1" si="73"/>
        <v>560</v>
      </c>
      <c r="S430" s="15">
        <f t="shared" ca="1" si="74"/>
        <v>0</v>
      </c>
    </row>
    <row r="431" spans="9:19">
      <c r="I431" s="15">
        <f t="shared" si="75"/>
        <v>427</v>
      </c>
      <c r="J431" s="16">
        <f t="shared" ca="1" si="76"/>
        <v>357.00287641274616</v>
      </c>
      <c r="K431" s="16">
        <f t="shared" ca="1" si="66"/>
        <v>270</v>
      </c>
      <c r="L431" s="16">
        <f t="shared" ca="1" si="67"/>
        <v>0</v>
      </c>
      <c r="M431" s="17">
        <f t="shared" ca="1" si="68"/>
        <v>1350</v>
      </c>
      <c r="N431" s="17">
        <f t="shared" si="69"/>
        <v>20</v>
      </c>
      <c r="O431" s="17">
        <f t="shared" si="70"/>
        <v>-810</v>
      </c>
      <c r="P431" s="18">
        <f t="shared" ca="1" si="71"/>
        <v>0</v>
      </c>
      <c r="Q431" s="18">
        <f t="shared" ca="1" si="72"/>
        <v>0</v>
      </c>
      <c r="R431" s="19">
        <f t="shared" ca="1" si="73"/>
        <v>560</v>
      </c>
      <c r="S431" s="15">
        <f t="shared" ca="1" si="74"/>
        <v>0</v>
      </c>
    </row>
    <row r="432" spans="9:19">
      <c r="I432" s="15">
        <f t="shared" si="75"/>
        <v>428</v>
      </c>
      <c r="J432" s="16">
        <f t="shared" ca="1" si="76"/>
        <v>383.36970395512679</v>
      </c>
      <c r="K432" s="16">
        <f t="shared" ca="1" si="66"/>
        <v>270</v>
      </c>
      <c r="L432" s="16">
        <f t="shared" ca="1" si="67"/>
        <v>0</v>
      </c>
      <c r="M432" s="17">
        <f t="shared" ca="1" si="68"/>
        <v>1350</v>
      </c>
      <c r="N432" s="17">
        <f t="shared" si="69"/>
        <v>20</v>
      </c>
      <c r="O432" s="17">
        <f t="shared" si="70"/>
        <v>-810</v>
      </c>
      <c r="P432" s="18">
        <f t="shared" ca="1" si="71"/>
        <v>0</v>
      </c>
      <c r="Q432" s="18">
        <f t="shared" ca="1" si="72"/>
        <v>0</v>
      </c>
      <c r="R432" s="19">
        <f t="shared" ca="1" si="73"/>
        <v>560</v>
      </c>
      <c r="S432" s="15">
        <f t="shared" ca="1" si="74"/>
        <v>0</v>
      </c>
    </row>
    <row r="433" spans="9:19">
      <c r="I433" s="15">
        <f t="shared" si="75"/>
        <v>429</v>
      </c>
      <c r="J433" s="16">
        <f t="shared" ca="1" si="76"/>
        <v>238.70809932495723</v>
      </c>
      <c r="K433" s="16">
        <f t="shared" ca="1" si="66"/>
        <v>31.291900675042768</v>
      </c>
      <c r="L433" s="16">
        <f t="shared" ca="1" si="67"/>
        <v>238.70809932495723</v>
      </c>
      <c r="M433" s="17">
        <f t="shared" ca="1" si="68"/>
        <v>156.45950337521384</v>
      </c>
      <c r="N433" s="17">
        <f t="shared" si="69"/>
        <v>20</v>
      </c>
      <c r="O433" s="17">
        <f t="shared" si="70"/>
        <v>-810</v>
      </c>
      <c r="P433" s="18">
        <f t="shared" ca="1" si="71"/>
        <v>-119.35404966247862</v>
      </c>
      <c r="Q433" s="18">
        <f t="shared" ca="1" si="72"/>
        <v>358.06214898743588</v>
      </c>
      <c r="R433" s="19">
        <f t="shared" ca="1" si="73"/>
        <v>-394.83239729982881</v>
      </c>
      <c r="S433" s="15">
        <f t="shared" ca="1" si="74"/>
        <v>1</v>
      </c>
    </row>
    <row r="434" spans="9:19">
      <c r="I434" s="15">
        <f t="shared" si="75"/>
        <v>430</v>
      </c>
      <c r="J434" s="16">
        <f t="shared" ca="1" si="76"/>
        <v>287.46941743254536</v>
      </c>
      <c r="K434" s="16">
        <f t="shared" ca="1" si="66"/>
        <v>270</v>
      </c>
      <c r="L434" s="16">
        <f t="shared" ca="1" si="67"/>
        <v>0</v>
      </c>
      <c r="M434" s="17">
        <f t="shared" ca="1" si="68"/>
        <v>1350</v>
      </c>
      <c r="N434" s="17">
        <f t="shared" si="69"/>
        <v>20</v>
      </c>
      <c r="O434" s="17">
        <f t="shared" si="70"/>
        <v>-810</v>
      </c>
      <c r="P434" s="18">
        <f t="shared" ca="1" si="71"/>
        <v>0</v>
      </c>
      <c r="Q434" s="18">
        <f t="shared" ca="1" si="72"/>
        <v>0</v>
      </c>
      <c r="R434" s="19">
        <f t="shared" ca="1" si="73"/>
        <v>560</v>
      </c>
      <c r="S434" s="15">
        <f t="shared" ca="1" si="74"/>
        <v>0</v>
      </c>
    </row>
    <row r="435" spans="9:19">
      <c r="I435" s="15">
        <f t="shared" si="75"/>
        <v>431</v>
      </c>
      <c r="J435" s="16">
        <f t="shared" ca="1" si="76"/>
        <v>312.38312064899048</v>
      </c>
      <c r="K435" s="16">
        <f t="shared" ca="1" si="66"/>
        <v>270</v>
      </c>
      <c r="L435" s="16">
        <f t="shared" ca="1" si="67"/>
        <v>0</v>
      </c>
      <c r="M435" s="17">
        <f t="shared" ca="1" si="68"/>
        <v>1350</v>
      </c>
      <c r="N435" s="17">
        <f t="shared" si="69"/>
        <v>20</v>
      </c>
      <c r="O435" s="17">
        <f t="shared" si="70"/>
        <v>-810</v>
      </c>
      <c r="P435" s="18">
        <f t="shared" ca="1" si="71"/>
        <v>0</v>
      </c>
      <c r="Q435" s="18">
        <f t="shared" ca="1" si="72"/>
        <v>0</v>
      </c>
      <c r="R435" s="19">
        <f t="shared" ca="1" si="73"/>
        <v>560</v>
      </c>
      <c r="S435" s="15">
        <f t="shared" ca="1" si="74"/>
        <v>0</v>
      </c>
    </row>
    <row r="436" spans="9:19">
      <c r="I436" s="15">
        <f t="shared" si="75"/>
        <v>432</v>
      </c>
      <c r="J436" s="16">
        <f t="shared" ca="1" si="76"/>
        <v>313.75238502579862</v>
      </c>
      <c r="K436" s="16">
        <f t="shared" ca="1" si="66"/>
        <v>270</v>
      </c>
      <c r="L436" s="16">
        <f t="shared" ca="1" si="67"/>
        <v>0</v>
      </c>
      <c r="M436" s="17">
        <f t="shared" ca="1" si="68"/>
        <v>1350</v>
      </c>
      <c r="N436" s="17">
        <f t="shared" si="69"/>
        <v>20</v>
      </c>
      <c r="O436" s="17">
        <f t="shared" si="70"/>
        <v>-810</v>
      </c>
      <c r="P436" s="18">
        <f t="shared" ca="1" si="71"/>
        <v>0</v>
      </c>
      <c r="Q436" s="18">
        <f t="shared" ca="1" si="72"/>
        <v>0</v>
      </c>
      <c r="R436" s="19">
        <f t="shared" ca="1" si="73"/>
        <v>560</v>
      </c>
      <c r="S436" s="15">
        <f t="shared" ca="1" si="74"/>
        <v>0</v>
      </c>
    </row>
    <row r="437" spans="9:19">
      <c r="I437" s="15">
        <f t="shared" si="75"/>
        <v>433</v>
      </c>
      <c r="J437" s="16">
        <f t="shared" ca="1" si="76"/>
        <v>378.37346830385553</v>
      </c>
      <c r="K437" s="16">
        <f t="shared" ca="1" si="66"/>
        <v>270</v>
      </c>
      <c r="L437" s="16">
        <f t="shared" ca="1" si="67"/>
        <v>0</v>
      </c>
      <c r="M437" s="17">
        <f t="shared" ca="1" si="68"/>
        <v>1350</v>
      </c>
      <c r="N437" s="17">
        <f t="shared" si="69"/>
        <v>20</v>
      </c>
      <c r="O437" s="17">
        <f t="shared" si="70"/>
        <v>-810</v>
      </c>
      <c r="P437" s="18">
        <f t="shared" ca="1" si="71"/>
        <v>0</v>
      </c>
      <c r="Q437" s="18">
        <f t="shared" ca="1" si="72"/>
        <v>0</v>
      </c>
      <c r="R437" s="19">
        <f t="shared" ca="1" si="73"/>
        <v>560</v>
      </c>
      <c r="S437" s="15">
        <f t="shared" ca="1" si="74"/>
        <v>0</v>
      </c>
    </row>
    <row r="438" spans="9:19">
      <c r="I438" s="15">
        <f t="shared" si="75"/>
        <v>434</v>
      </c>
      <c r="J438" s="16">
        <f t="shared" ca="1" si="76"/>
        <v>162.83741960573201</v>
      </c>
      <c r="K438" s="16">
        <f t="shared" ca="1" si="66"/>
        <v>107.16258039426799</v>
      </c>
      <c r="L438" s="16">
        <f t="shared" ca="1" si="67"/>
        <v>162.83741960573201</v>
      </c>
      <c r="M438" s="17">
        <f t="shared" ca="1" si="68"/>
        <v>535.8129019713399</v>
      </c>
      <c r="N438" s="17">
        <f t="shared" si="69"/>
        <v>20</v>
      </c>
      <c r="O438" s="17">
        <f t="shared" si="70"/>
        <v>-810</v>
      </c>
      <c r="P438" s="18">
        <f t="shared" ca="1" si="71"/>
        <v>-81.418709802866005</v>
      </c>
      <c r="Q438" s="18">
        <f t="shared" ca="1" si="72"/>
        <v>244.25612940859801</v>
      </c>
      <c r="R438" s="19">
        <f t="shared" ca="1" si="73"/>
        <v>-91.349678422928122</v>
      </c>
      <c r="S438" s="15">
        <f t="shared" ca="1" si="74"/>
        <v>1</v>
      </c>
    </row>
    <row r="439" spans="9:19">
      <c r="I439" s="15">
        <f t="shared" si="75"/>
        <v>435</v>
      </c>
      <c r="J439" s="16">
        <f t="shared" ca="1" si="76"/>
        <v>295.80649873318976</v>
      </c>
      <c r="K439" s="16">
        <f t="shared" ca="1" si="66"/>
        <v>270</v>
      </c>
      <c r="L439" s="16">
        <f t="shared" ca="1" si="67"/>
        <v>0</v>
      </c>
      <c r="M439" s="17">
        <f t="shared" ca="1" si="68"/>
        <v>1350</v>
      </c>
      <c r="N439" s="17">
        <f t="shared" si="69"/>
        <v>20</v>
      </c>
      <c r="O439" s="17">
        <f t="shared" si="70"/>
        <v>-810</v>
      </c>
      <c r="P439" s="18">
        <f t="shared" ca="1" si="71"/>
        <v>0</v>
      </c>
      <c r="Q439" s="18">
        <f t="shared" ca="1" si="72"/>
        <v>0</v>
      </c>
      <c r="R439" s="19">
        <f t="shared" ca="1" si="73"/>
        <v>560</v>
      </c>
      <c r="S439" s="15">
        <f t="shared" ca="1" si="74"/>
        <v>0</v>
      </c>
    </row>
    <row r="440" spans="9:19">
      <c r="I440" s="15">
        <f t="shared" si="75"/>
        <v>436</v>
      </c>
      <c r="J440" s="16">
        <f t="shared" ca="1" si="76"/>
        <v>372.35300810305694</v>
      </c>
      <c r="K440" s="16">
        <f t="shared" ca="1" si="66"/>
        <v>270</v>
      </c>
      <c r="L440" s="16">
        <f t="shared" ca="1" si="67"/>
        <v>0</v>
      </c>
      <c r="M440" s="17">
        <f t="shared" ca="1" si="68"/>
        <v>1350</v>
      </c>
      <c r="N440" s="17">
        <f t="shared" si="69"/>
        <v>20</v>
      </c>
      <c r="O440" s="17">
        <f t="shared" si="70"/>
        <v>-810</v>
      </c>
      <c r="P440" s="18">
        <f t="shared" ca="1" si="71"/>
        <v>0</v>
      </c>
      <c r="Q440" s="18">
        <f t="shared" ca="1" si="72"/>
        <v>0</v>
      </c>
      <c r="R440" s="19">
        <f t="shared" ca="1" si="73"/>
        <v>560</v>
      </c>
      <c r="S440" s="15">
        <f t="shared" ca="1" si="74"/>
        <v>0</v>
      </c>
    </row>
    <row r="441" spans="9:19">
      <c r="I441" s="15">
        <f t="shared" si="75"/>
        <v>437</v>
      </c>
      <c r="J441" s="16">
        <f t="shared" ca="1" si="76"/>
        <v>222.78847222543573</v>
      </c>
      <c r="K441" s="16">
        <f t="shared" ca="1" si="66"/>
        <v>47.211527774564274</v>
      </c>
      <c r="L441" s="16">
        <f t="shared" ca="1" si="67"/>
        <v>222.78847222543573</v>
      </c>
      <c r="M441" s="17">
        <f t="shared" ca="1" si="68"/>
        <v>236.05763887282137</v>
      </c>
      <c r="N441" s="17">
        <f t="shared" si="69"/>
        <v>20</v>
      </c>
      <c r="O441" s="17">
        <f t="shared" si="70"/>
        <v>-810</v>
      </c>
      <c r="P441" s="18">
        <f t="shared" ca="1" si="71"/>
        <v>-111.39423611271786</v>
      </c>
      <c r="Q441" s="18">
        <f t="shared" ca="1" si="72"/>
        <v>334.18270833815359</v>
      </c>
      <c r="R441" s="19">
        <f t="shared" ca="1" si="73"/>
        <v>-331.1538889017429</v>
      </c>
      <c r="S441" s="15">
        <f t="shared" ca="1" si="74"/>
        <v>1</v>
      </c>
    </row>
    <row r="442" spans="9:19">
      <c r="I442" s="15">
        <f t="shared" si="75"/>
        <v>438</v>
      </c>
      <c r="J442" s="16">
        <f t="shared" ca="1" si="76"/>
        <v>121.74572577948365</v>
      </c>
      <c r="K442" s="16">
        <f t="shared" ca="1" si="66"/>
        <v>148.25427422051635</v>
      </c>
      <c r="L442" s="16">
        <f t="shared" ca="1" si="67"/>
        <v>121.74572577948365</v>
      </c>
      <c r="M442" s="17">
        <f t="shared" ca="1" si="68"/>
        <v>741.27137110258172</v>
      </c>
      <c r="N442" s="17">
        <f t="shared" si="69"/>
        <v>20</v>
      </c>
      <c r="O442" s="17">
        <f t="shared" si="70"/>
        <v>-810</v>
      </c>
      <c r="P442" s="18">
        <f t="shared" ca="1" si="71"/>
        <v>-60.872862889741825</v>
      </c>
      <c r="Q442" s="18">
        <f t="shared" ca="1" si="72"/>
        <v>182.61858866922546</v>
      </c>
      <c r="R442" s="19">
        <f t="shared" ca="1" si="73"/>
        <v>73.01709688206536</v>
      </c>
      <c r="S442" s="15">
        <f t="shared" ca="1" si="74"/>
        <v>0</v>
      </c>
    </row>
    <row r="443" spans="9:19">
      <c r="I443" s="15">
        <f t="shared" si="75"/>
        <v>439</v>
      </c>
      <c r="J443" s="16">
        <f t="shared" ca="1" si="76"/>
        <v>205.22995199199323</v>
      </c>
      <c r="K443" s="16">
        <f t="shared" ca="1" si="66"/>
        <v>64.770048008006768</v>
      </c>
      <c r="L443" s="16">
        <f t="shared" ca="1" si="67"/>
        <v>205.22995199199323</v>
      </c>
      <c r="M443" s="17">
        <f t="shared" ca="1" si="68"/>
        <v>323.85024004003384</v>
      </c>
      <c r="N443" s="17">
        <f t="shared" si="69"/>
        <v>20</v>
      </c>
      <c r="O443" s="17">
        <f t="shared" si="70"/>
        <v>-810</v>
      </c>
      <c r="P443" s="18">
        <f t="shared" ca="1" si="71"/>
        <v>-102.61497599599662</v>
      </c>
      <c r="Q443" s="18">
        <f t="shared" ca="1" si="72"/>
        <v>307.84492798798988</v>
      </c>
      <c r="R443" s="19">
        <f t="shared" ca="1" si="73"/>
        <v>-260.91980796797293</v>
      </c>
      <c r="S443" s="15">
        <f t="shared" ca="1" si="74"/>
        <v>1</v>
      </c>
    </row>
    <row r="444" spans="9:19">
      <c r="I444" s="15">
        <f t="shared" si="75"/>
        <v>440</v>
      </c>
      <c r="J444" s="16">
        <f t="shared" ca="1" si="76"/>
        <v>366.74071759730765</v>
      </c>
      <c r="K444" s="16">
        <f t="shared" ca="1" si="66"/>
        <v>270</v>
      </c>
      <c r="L444" s="16">
        <f t="shared" ca="1" si="67"/>
        <v>0</v>
      </c>
      <c r="M444" s="17">
        <f t="shared" ca="1" si="68"/>
        <v>1350</v>
      </c>
      <c r="N444" s="17">
        <f t="shared" si="69"/>
        <v>20</v>
      </c>
      <c r="O444" s="17">
        <f t="shared" si="70"/>
        <v>-810</v>
      </c>
      <c r="P444" s="18">
        <f t="shared" ca="1" si="71"/>
        <v>0</v>
      </c>
      <c r="Q444" s="18">
        <f t="shared" ca="1" si="72"/>
        <v>0</v>
      </c>
      <c r="R444" s="19">
        <f t="shared" ca="1" si="73"/>
        <v>560</v>
      </c>
      <c r="S444" s="15">
        <f t="shared" ca="1" si="74"/>
        <v>0</v>
      </c>
    </row>
    <row r="445" spans="9:19">
      <c r="I445" s="15">
        <f t="shared" si="75"/>
        <v>441</v>
      </c>
      <c r="J445" s="16">
        <f t="shared" ca="1" si="76"/>
        <v>181.51990773132133</v>
      </c>
      <c r="K445" s="16">
        <f t="shared" ca="1" si="66"/>
        <v>88.480092268678675</v>
      </c>
      <c r="L445" s="16">
        <f t="shared" ca="1" si="67"/>
        <v>181.51990773132133</v>
      </c>
      <c r="M445" s="17">
        <f t="shared" ca="1" si="68"/>
        <v>442.40046134339337</v>
      </c>
      <c r="N445" s="17">
        <f t="shared" si="69"/>
        <v>20</v>
      </c>
      <c r="O445" s="17">
        <f t="shared" si="70"/>
        <v>-810</v>
      </c>
      <c r="P445" s="18">
        <f t="shared" ca="1" si="71"/>
        <v>-90.759953865660663</v>
      </c>
      <c r="Q445" s="18">
        <f t="shared" ca="1" si="72"/>
        <v>272.27986159698196</v>
      </c>
      <c r="R445" s="19">
        <f t="shared" ca="1" si="73"/>
        <v>-166.0796309252853</v>
      </c>
      <c r="S445" s="15">
        <f t="shared" ca="1" si="74"/>
        <v>1</v>
      </c>
    </row>
    <row r="446" spans="9:19">
      <c r="I446" s="15">
        <f t="shared" si="75"/>
        <v>442</v>
      </c>
      <c r="J446" s="16">
        <f t="shared" ca="1" si="76"/>
        <v>218.98775316204348</v>
      </c>
      <c r="K446" s="16">
        <f t="shared" ca="1" si="66"/>
        <v>51.012246837956525</v>
      </c>
      <c r="L446" s="16">
        <f t="shared" ca="1" si="67"/>
        <v>218.98775316204348</v>
      </c>
      <c r="M446" s="17">
        <f t="shared" ca="1" si="68"/>
        <v>255.06123418978262</v>
      </c>
      <c r="N446" s="17">
        <f t="shared" si="69"/>
        <v>20</v>
      </c>
      <c r="O446" s="17">
        <f t="shared" si="70"/>
        <v>-810</v>
      </c>
      <c r="P446" s="18">
        <f t="shared" ca="1" si="71"/>
        <v>-109.49387658102174</v>
      </c>
      <c r="Q446" s="18">
        <f t="shared" ca="1" si="72"/>
        <v>328.48162974306524</v>
      </c>
      <c r="R446" s="19">
        <f t="shared" ca="1" si="73"/>
        <v>-315.95101264817379</v>
      </c>
      <c r="S446" s="15">
        <f t="shared" ca="1" si="74"/>
        <v>1</v>
      </c>
    </row>
    <row r="447" spans="9:19">
      <c r="I447" s="15">
        <f t="shared" si="75"/>
        <v>443</v>
      </c>
      <c r="J447" s="16">
        <f t="shared" ca="1" si="76"/>
        <v>292.8328570413853</v>
      </c>
      <c r="K447" s="16">
        <f t="shared" ca="1" si="66"/>
        <v>270</v>
      </c>
      <c r="L447" s="16">
        <f t="shared" ca="1" si="67"/>
        <v>0</v>
      </c>
      <c r="M447" s="17">
        <f t="shared" ca="1" si="68"/>
        <v>1350</v>
      </c>
      <c r="N447" s="17">
        <f t="shared" si="69"/>
        <v>20</v>
      </c>
      <c r="O447" s="17">
        <f t="shared" si="70"/>
        <v>-810</v>
      </c>
      <c r="P447" s="18">
        <f t="shared" ca="1" si="71"/>
        <v>0</v>
      </c>
      <c r="Q447" s="18">
        <f t="shared" ca="1" si="72"/>
        <v>0</v>
      </c>
      <c r="R447" s="19">
        <f t="shared" ca="1" si="73"/>
        <v>560</v>
      </c>
      <c r="S447" s="15">
        <f t="shared" ca="1" si="74"/>
        <v>0</v>
      </c>
    </row>
    <row r="448" spans="9:19">
      <c r="I448" s="15">
        <f t="shared" si="75"/>
        <v>444</v>
      </c>
      <c r="J448" s="16">
        <f t="shared" ca="1" si="76"/>
        <v>370.32043294956532</v>
      </c>
      <c r="K448" s="16">
        <f t="shared" ca="1" si="66"/>
        <v>270</v>
      </c>
      <c r="L448" s="16">
        <f t="shared" ca="1" si="67"/>
        <v>0</v>
      </c>
      <c r="M448" s="17">
        <f t="shared" ca="1" si="68"/>
        <v>1350</v>
      </c>
      <c r="N448" s="17">
        <f t="shared" si="69"/>
        <v>20</v>
      </c>
      <c r="O448" s="17">
        <f t="shared" si="70"/>
        <v>-810</v>
      </c>
      <c r="P448" s="18">
        <f t="shared" ca="1" si="71"/>
        <v>0</v>
      </c>
      <c r="Q448" s="18">
        <f t="shared" ca="1" si="72"/>
        <v>0</v>
      </c>
      <c r="R448" s="19">
        <f t="shared" ca="1" si="73"/>
        <v>560</v>
      </c>
      <c r="S448" s="15">
        <f t="shared" ca="1" si="74"/>
        <v>0</v>
      </c>
    </row>
    <row r="449" spans="9:19">
      <c r="I449" s="15">
        <f t="shared" si="75"/>
        <v>445</v>
      </c>
      <c r="J449" s="16">
        <f t="shared" ca="1" si="76"/>
        <v>401.37258941686031</v>
      </c>
      <c r="K449" s="16">
        <f t="shared" ca="1" si="66"/>
        <v>270</v>
      </c>
      <c r="L449" s="16">
        <f t="shared" ca="1" si="67"/>
        <v>0</v>
      </c>
      <c r="M449" s="17">
        <f t="shared" ca="1" si="68"/>
        <v>1350</v>
      </c>
      <c r="N449" s="17">
        <f t="shared" si="69"/>
        <v>20</v>
      </c>
      <c r="O449" s="17">
        <f t="shared" si="70"/>
        <v>-810</v>
      </c>
      <c r="P449" s="18">
        <f t="shared" ca="1" si="71"/>
        <v>0</v>
      </c>
      <c r="Q449" s="18">
        <f t="shared" ca="1" si="72"/>
        <v>0</v>
      </c>
      <c r="R449" s="19">
        <f t="shared" ca="1" si="73"/>
        <v>560</v>
      </c>
      <c r="S449" s="15">
        <f t="shared" ca="1" si="74"/>
        <v>0</v>
      </c>
    </row>
    <row r="450" spans="9:19">
      <c r="I450" s="15">
        <f t="shared" si="75"/>
        <v>446</v>
      </c>
      <c r="J450" s="16">
        <f t="shared" ca="1" si="76"/>
        <v>134.83040696997051</v>
      </c>
      <c r="K450" s="16">
        <f t="shared" ca="1" si="66"/>
        <v>135.16959303002949</v>
      </c>
      <c r="L450" s="16">
        <f t="shared" ca="1" si="67"/>
        <v>134.83040696997051</v>
      </c>
      <c r="M450" s="17">
        <f t="shared" ca="1" si="68"/>
        <v>675.8479651501475</v>
      </c>
      <c r="N450" s="17">
        <f t="shared" si="69"/>
        <v>20</v>
      </c>
      <c r="O450" s="17">
        <f t="shared" si="70"/>
        <v>-810</v>
      </c>
      <c r="P450" s="18">
        <f t="shared" ca="1" si="71"/>
        <v>-67.415203484985255</v>
      </c>
      <c r="Q450" s="18">
        <f t="shared" ca="1" si="72"/>
        <v>202.24561045495577</v>
      </c>
      <c r="R450" s="19">
        <f t="shared" ca="1" si="73"/>
        <v>20.678372120118013</v>
      </c>
      <c r="S450" s="15">
        <f t="shared" ca="1" si="74"/>
        <v>0</v>
      </c>
    </row>
    <row r="451" spans="9:19">
      <c r="I451" s="15">
        <f t="shared" si="75"/>
        <v>447</v>
      </c>
      <c r="J451" s="16">
        <f t="shared" ca="1" si="76"/>
        <v>298.60161912709117</v>
      </c>
      <c r="K451" s="16">
        <f t="shared" ca="1" si="66"/>
        <v>270</v>
      </c>
      <c r="L451" s="16">
        <f t="shared" ca="1" si="67"/>
        <v>0</v>
      </c>
      <c r="M451" s="17">
        <f t="shared" ca="1" si="68"/>
        <v>1350</v>
      </c>
      <c r="N451" s="17">
        <f t="shared" si="69"/>
        <v>20</v>
      </c>
      <c r="O451" s="17">
        <f t="shared" si="70"/>
        <v>-810</v>
      </c>
      <c r="P451" s="18">
        <f t="shared" ca="1" si="71"/>
        <v>0</v>
      </c>
      <c r="Q451" s="18">
        <f t="shared" ca="1" si="72"/>
        <v>0</v>
      </c>
      <c r="R451" s="19">
        <f t="shared" ca="1" si="73"/>
        <v>560</v>
      </c>
      <c r="S451" s="15">
        <f t="shared" ca="1" si="74"/>
        <v>0</v>
      </c>
    </row>
    <row r="452" spans="9:19">
      <c r="I452" s="15">
        <f t="shared" si="75"/>
        <v>448</v>
      </c>
      <c r="J452" s="16">
        <f t="shared" ca="1" si="76"/>
        <v>330.64754516693677</v>
      </c>
      <c r="K452" s="16">
        <f t="shared" ca="1" si="66"/>
        <v>270</v>
      </c>
      <c r="L452" s="16">
        <f t="shared" ca="1" si="67"/>
        <v>0</v>
      </c>
      <c r="M452" s="17">
        <f t="shared" ca="1" si="68"/>
        <v>1350</v>
      </c>
      <c r="N452" s="17">
        <f t="shared" si="69"/>
        <v>20</v>
      </c>
      <c r="O452" s="17">
        <f t="shared" si="70"/>
        <v>-810</v>
      </c>
      <c r="P452" s="18">
        <f t="shared" ca="1" si="71"/>
        <v>0</v>
      </c>
      <c r="Q452" s="18">
        <f t="shared" ca="1" si="72"/>
        <v>0</v>
      </c>
      <c r="R452" s="19">
        <f t="shared" ca="1" si="73"/>
        <v>560</v>
      </c>
      <c r="S452" s="15">
        <f t="shared" ca="1" si="74"/>
        <v>0</v>
      </c>
    </row>
    <row r="453" spans="9:19">
      <c r="I453" s="15">
        <f t="shared" si="75"/>
        <v>449</v>
      </c>
      <c r="J453" s="16">
        <f t="shared" ca="1" si="76"/>
        <v>372.56639426543461</v>
      </c>
      <c r="K453" s="16">
        <f t="shared" ca="1" si="66"/>
        <v>270</v>
      </c>
      <c r="L453" s="16">
        <f t="shared" ca="1" si="67"/>
        <v>0</v>
      </c>
      <c r="M453" s="17">
        <f t="shared" ca="1" si="68"/>
        <v>1350</v>
      </c>
      <c r="N453" s="17">
        <f t="shared" si="69"/>
        <v>20</v>
      </c>
      <c r="O453" s="17">
        <f t="shared" si="70"/>
        <v>-810</v>
      </c>
      <c r="P453" s="18">
        <f t="shared" ca="1" si="71"/>
        <v>0</v>
      </c>
      <c r="Q453" s="18">
        <f t="shared" ca="1" si="72"/>
        <v>0</v>
      </c>
      <c r="R453" s="19">
        <f t="shared" ca="1" si="73"/>
        <v>560</v>
      </c>
      <c r="S453" s="15">
        <f t="shared" ca="1" si="74"/>
        <v>0</v>
      </c>
    </row>
    <row r="454" spans="9:19">
      <c r="I454" s="15">
        <f t="shared" si="75"/>
        <v>450</v>
      </c>
      <c r="J454" s="16">
        <f t="shared" ca="1" si="76"/>
        <v>345.0611944231681</v>
      </c>
      <c r="K454" s="16">
        <f t="shared" ref="K454:K504" ca="1" si="77">IF(J454&gt;=$D$18,$D$18,$D$18-J454)</f>
        <v>270</v>
      </c>
      <c r="L454" s="16">
        <f t="shared" ref="L454:L504" ca="1" si="78">$D$18-K454</f>
        <v>0</v>
      </c>
      <c r="M454" s="17">
        <f t="shared" ref="M454:M504" ca="1" si="79">K454*5</f>
        <v>1350</v>
      </c>
      <c r="N454" s="17">
        <f t="shared" ref="N454:N504" si="80">$D$10</f>
        <v>20</v>
      </c>
      <c r="O454" s="17">
        <f t="shared" ref="O454:O504" si="81">-$D$6*$D$18</f>
        <v>-810</v>
      </c>
      <c r="P454" s="18">
        <f t="shared" ref="P454:P504" ca="1" si="82">-L454*$D$9</f>
        <v>0</v>
      </c>
      <c r="Q454" s="18">
        <f t="shared" ref="Q454:Q504" ca="1" si="83">L454*($D$6*$D$8)</f>
        <v>0</v>
      </c>
      <c r="R454" s="19">
        <f t="shared" ref="R454:R504" ca="1" si="84">SUM(M454:Q454)</f>
        <v>560</v>
      </c>
      <c r="S454" s="15">
        <f t="shared" ref="S454:S504" ca="1" si="85">IF(R454&lt;0,1,0)</f>
        <v>0</v>
      </c>
    </row>
    <row r="455" spans="9:19">
      <c r="I455" s="15">
        <f t="shared" ref="I455:I504" si="86">I454+1</f>
        <v>451</v>
      </c>
      <c r="J455" s="16">
        <f t="shared" ref="J455:J504" ca="1" si="87">RAND()*($E$3-$D$3)+$D$3</f>
        <v>228.8573773184321</v>
      </c>
      <c r="K455" s="16">
        <f t="shared" ca="1" si="77"/>
        <v>41.1426226815679</v>
      </c>
      <c r="L455" s="16">
        <f t="shared" ca="1" si="78"/>
        <v>228.8573773184321</v>
      </c>
      <c r="M455" s="17">
        <f t="shared" ca="1" si="79"/>
        <v>205.7131134078395</v>
      </c>
      <c r="N455" s="17">
        <f t="shared" si="80"/>
        <v>20</v>
      </c>
      <c r="O455" s="17">
        <f t="shared" si="81"/>
        <v>-810</v>
      </c>
      <c r="P455" s="18">
        <f t="shared" ca="1" si="82"/>
        <v>-114.42868865921605</v>
      </c>
      <c r="Q455" s="18">
        <f t="shared" ca="1" si="83"/>
        <v>343.28606597764815</v>
      </c>
      <c r="R455" s="19">
        <f t="shared" ca="1" si="84"/>
        <v>-355.4295092737284</v>
      </c>
      <c r="S455" s="15">
        <f t="shared" ca="1" si="85"/>
        <v>1</v>
      </c>
    </row>
    <row r="456" spans="9:19">
      <c r="I456" s="15">
        <f t="shared" si="86"/>
        <v>452</v>
      </c>
      <c r="J456" s="16">
        <f t="shared" ca="1" si="87"/>
        <v>293.94668128685566</v>
      </c>
      <c r="K456" s="16">
        <f t="shared" ca="1" si="77"/>
        <v>270</v>
      </c>
      <c r="L456" s="16">
        <f t="shared" ca="1" si="78"/>
        <v>0</v>
      </c>
      <c r="M456" s="17">
        <f t="shared" ca="1" si="79"/>
        <v>1350</v>
      </c>
      <c r="N456" s="17">
        <f t="shared" si="80"/>
        <v>20</v>
      </c>
      <c r="O456" s="17">
        <f t="shared" si="81"/>
        <v>-810</v>
      </c>
      <c r="P456" s="18">
        <f t="shared" ca="1" si="82"/>
        <v>0</v>
      </c>
      <c r="Q456" s="18">
        <f t="shared" ca="1" si="83"/>
        <v>0</v>
      </c>
      <c r="R456" s="19">
        <f t="shared" ca="1" si="84"/>
        <v>560</v>
      </c>
      <c r="S456" s="15">
        <f t="shared" ca="1" si="85"/>
        <v>0</v>
      </c>
    </row>
    <row r="457" spans="9:19">
      <c r="I457" s="15">
        <f t="shared" si="86"/>
        <v>453</v>
      </c>
      <c r="J457" s="16">
        <f t="shared" ca="1" si="87"/>
        <v>341.24999473365733</v>
      </c>
      <c r="K457" s="16">
        <f t="shared" ca="1" si="77"/>
        <v>270</v>
      </c>
      <c r="L457" s="16">
        <f t="shared" ca="1" si="78"/>
        <v>0</v>
      </c>
      <c r="M457" s="17">
        <f t="shared" ca="1" si="79"/>
        <v>1350</v>
      </c>
      <c r="N457" s="17">
        <f t="shared" si="80"/>
        <v>20</v>
      </c>
      <c r="O457" s="17">
        <f t="shared" si="81"/>
        <v>-810</v>
      </c>
      <c r="P457" s="18">
        <f t="shared" ca="1" si="82"/>
        <v>0</v>
      </c>
      <c r="Q457" s="18">
        <f t="shared" ca="1" si="83"/>
        <v>0</v>
      </c>
      <c r="R457" s="19">
        <f t="shared" ca="1" si="84"/>
        <v>560</v>
      </c>
      <c r="S457" s="15">
        <f t="shared" ca="1" si="85"/>
        <v>0</v>
      </c>
    </row>
    <row r="458" spans="9:19">
      <c r="I458" s="15">
        <f t="shared" si="86"/>
        <v>454</v>
      </c>
      <c r="J458" s="16">
        <f t="shared" ca="1" si="87"/>
        <v>264.47440169840763</v>
      </c>
      <c r="K458" s="16">
        <f t="shared" ca="1" si="77"/>
        <v>5.5255983015923675</v>
      </c>
      <c r="L458" s="16">
        <f t="shared" ca="1" si="78"/>
        <v>264.47440169840763</v>
      </c>
      <c r="M458" s="17">
        <f t="shared" ca="1" si="79"/>
        <v>27.627991507961838</v>
      </c>
      <c r="N458" s="17">
        <f t="shared" si="80"/>
        <v>20</v>
      </c>
      <c r="O458" s="17">
        <f t="shared" si="81"/>
        <v>-810</v>
      </c>
      <c r="P458" s="18">
        <f t="shared" ca="1" si="82"/>
        <v>-132.23720084920382</v>
      </c>
      <c r="Q458" s="18">
        <f t="shared" ca="1" si="83"/>
        <v>396.71160254761145</v>
      </c>
      <c r="R458" s="19">
        <f t="shared" ca="1" si="84"/>
        <v>-497.89760679363047</v>
      </c>
      <c r="S458" s="15">
        <f t="shared" ca="1" si="85"/>
        <v>1</v>
      </c>
    </row>
    <row r="459" spans="9:19">
      <c r="I459" s="15">
        <f t="shared" si="86"/>
        <v>455</v>
      </c>
      <c r="J459" s="16">
        <f t="shared" ca="1" si="87"/>
        <v>407.2617131542147</v>
      </c>
      <c r="K459" s="16">
        <f t="shared" ca="1" si="77"/>
        <v>270</v>
      </c>
      <c r="L459" s="16">
        <f t="shared" ca="1" si="78"/>
        <v>0</v>
      </c>
      <c r="M459" s="17">
        <f t="shared" ca="1" si="79"/>
        <v>1350</v>
      </c>
      <c r="N459" s="17">
        <f t="shared" si="80"/>
        <v>20</v>
      </c>
      <c r="O459" s="17">
        <f t="shared" si="81"/>
        <v>-810</v>
      </c>
      <c r="P459" s="18">
        <f t="shared" ca="1" si="82"/>
        <v>0</v>
      </c>
      <c r="Q459" s="18">
        <f t="shared" ca="1" si="83"/>
        <v>0</v>
      </c>
      <c r="R459" s="19">
        <f t="shared" ca="1" si="84"/>
        <v>560</v>
      </c>
      <c r="S459" s="15">
        <f t="shared" ca="1" si="85"/>
        <v>0</v>
      </c>
    </row>
    <row r="460" spans="9:19">
      <c r="I460" s="15">
        <f t="shared" si="86"/>
        <v>456</v>
      </c>
      <c r="J460" s="16">
        <f t="shared" ca="1" si="87"/>
        <v>416.6133901506463</v>
      </c>
      <c r="K460" s="16">
        <f t="shared" ca="1" si="77"/>
        <v>270</v>
      </c>
      <c r="L460" s="16">
        <f t="shared" ca="1" si="78"/>
        <v>0</v>
      </c>
      <c r="M460" s="17">
        <f t="shared" ca="1" si="79"/>
        <v>1350</v>
      </c>
      <c r="N460" s="17">
        <f t="shared" si="80"/>
        <v>20</v>
      </c>
      <c r="O460" s="17">
        <f t="shared" si="81"/>
        <v>-810</v>
      </c>
      <c r="P460" s="18">
        <f t="shared" ca="1" si="82"/>
        <v>0</v>
      </c>
      <c r="Q460" s="18">
        <f t="shared" ca="1" si="83"/>
        <v>0</v>
      </c>
      <c r="R460" s="19">
        <f t="shared" ca="1" si="84"/>
        <v>560</v>
      </c>
      <c r="S460" s="15">
        <f t="shared" ca="1" si="85"/>
        <v>0</v>
      </c>
    </row>
    <row r="461" spans="9:19">
      <c r="I461" s="15">
        <f t="shared" si="86"/>
        <v>457</v>
      </c>
      <c r="J461" s="16">
        <f t="shared" ca="1" si="87"/>
        <v>232.9229105016305</v>
      </c>
      <c r="K461" s="16">
        <f t="shared" ca="1" si="77"/>
        <v>37.077089498369503</v>
      </c>
      <c r="L461" s="16">
        <f t="shared" ca="1" si="78"/>
        <v>232.9229105016305</v>
      </c>
      <c r="M461" s="17">
        <f t="shared" ca="1" si="79"/>
        <v>185.38544749184751</v>
      </c>
      <c r="N461" s="17">
        <f t="shared" si="80"/>
        <v>20</v>
      </c>
      <c r="O461" s="17">
        <f t="shared" si="81"/>
        <v>-810</v>
      </c>
      <c r="P461" s="18">
        <f t="shared" ca="1" si="82"/>
        <v>-116.46145525081525</v>
      </c>
      <c r="Q461" s="18">
        <f t="shared" ca="1" si="83"/>
        <v>349.38436575244577</v>
      </c>
      <c r="R461" s="19">
        <f t="shared" ca="1" si="84"/>
        <v>-371.69164200652187</v>
      </c>
      <c r="S461" s="15">
        <f t="shared" ca="1" si="85"/>
        <v>1</v>
      </c>
    </row>
    <row r="462" spans="9:19">
      <c r="I462" s="15">
        <f t="shared" si="86"/>
        <v>458</v>
      </c>
      <c r="J462" s="16">
        <f t="shared" ca="1" si="87"/>
        <v>338.73054647062509</v>
      </c>
      <c r="K462" s="16">
        <f t="shared" ca="1" si="77"/>
        <v>270</v>
      </c>
      <c r="L462" s="16">
        <f t="shared" ca="1" si="78"/>
        <v>0</v>
      </c>
      <c r="M462" s="17">
        <f t="shared" ca="1" si="79"/>
        <v>1350</v>
      </c>
      <c r="N462" s="17">
        <f t="shared" si="80"/>
        <v>20</v>
      </c>
      <c r="O462" s="17">
        <f t="shared" si="81"/>
        <v>-810</v>
      </c>
      <c r="P462" s="18">
        <f t="shared" ca="1" si="82"/>
        <v>0</v>
      </c>
      <c r="Q462" s="18">
        <f t="shared" ca="1" si="83"/>
        <v>0</v>
      </c>
      <c r="R462" s="19">
        <f t="shared" ca="1" si="84"/>
        <v>560</v>
      </c>
      <c r="S462" s="15">
        <f t="shared" ca="1" si="85"/>
        <v>0</v>
      </c>
    </row>
    <row r="463" spans="9:19">
      <c r="I463" s="15">
        <f t="shared" si="86"/>
        <v>459</v>
      </c>
      <c r="J463" s="16">
        <f t="shared" ca="1" si="87"/>
        <v>186.78629504123734</v>
      </c>
      <c r="K463" s="16">
        <f t="shared" ca="1" si="77"/>
        <v>83.213704958762662</v>
      </c>
      <c r="L463" s="16">
        <f t="shared" ca="1" si="78"/>
        <v>186.78629504123734</v>
      </c>
      <c r="M463" s="17">
        <f t="shared" ca="1" si="79"/>
        <v>416.06852479381331</v>
      </c>
      <c r="N463" s="17">
        <f t="shared" si="80"/>
        <v>20</v>
      </c>
      <c r="O463" s="17">
        <f t="shared" si="81"/>
        <v>-810</v>
      </c>
      <c r="P463" s="18">
        <f t="shared" ca="1" si="82"/>
        <v>-93.393147520618669</v>
      </c>
      <c r="Q463" s="18">
        <f t="shared" ca="1" si="83"/>
        <v>280.17944256185604</v>
      </c>
      <c r="R463" s="19">
        <f t="shared" ca="1" si="84"/>
        <v>-187.14518016494935</v>
      </c>
      <c r="S463" s="15">
        <f t="shared" ca="1" si="85"/>
        <v>1</v>
      </c>
    </row>
    <row r="464" spans="9:19">
      <c r="I464" s="15">
        <f t="shared" si="86"/>
        <v>460</v>
      </c>
      <c r="J464" s="16">
        <f t="shared" ca="1" si="87"/>
        <v>265.88008522443386</v>
      </c>
      <c r="K464" s="16">
        <f t="shared" ca="1" si="77"/>
        <v>4.1199147755661443</v>
      </c>
      <c r="L464" s="16">
        <f t="shared" ca="1" si="78"/>
        <v>265.88008522443386</v>
      </c>
      <c r="M464" s="17">
        <f t="shared" ca="1" si="79"/>
        <v>20.599573877830721</v>
      </c>
      <c r="N464" s="17">
        <f t="shared" si="80"/>
        <v>20</v>
      </c>
      <c r="O464" s="17">
        <f t="shared" si="81"/>
        <v>-810</v>
      </c>
      <c r="P464" s="18">
        <f t="shared" ca="1" si="82"/>
        <v>-132.94004261221693</v>
      </c>
      <c r="Q464" s="18">
        <f t="shared" ca="1" si="83"/>
        <v>398.82012783665078</v>
      </c>
      <c r="R464" s="19">
        <f t="shared" ca="1" si="84"/>
        <v>-503.52034089773537</v>
      </c>
      <c r="S464" s="15">
        <f t="shared" ca="1" si="85"/>
        <v>1</v>
      </c>
    </row>
    <row r="465" spans="9:19">
      <c r="I465" s="15">
        <f t="shared" si="86"/>
        <v>461</v>
      </c>
      <c r="J465" s="16">
        <f t="shared" ca="1" si="87"/>
        <v>250.68071190498696</v>
      </c>
      <c r="K465" s="16">
        <f t="shared" ca="1" si="77"/>
        <v>19.319288095013036</v>
      </c>
      <c r="L465" s="16">
        <f t="shared" ca="1" si="78"/>
        <v>250.68071190498696</v>
      </c>
      <c r="M465" s="17">
        <f t="shared" ca="1" si="79"/>
        <v>96.596440475065179</v>
      </c>
      <c r="N465" s="17">
        <f t="shared" si="80"/>
        <v>20</v>
      </c>
      <c r="O465" s="17">
        <f t="shared" si="81"/>
        <v>-810</v>
      </c>
      <c r="P465" s="18">
        <f t="shared" ca="1" si="82"/>
        <v>-125.34035595249348</v>
      </c>
      <c r="Q465" s="18">
        <f t="shared" ca="1" si="83"/>
        <v>376.02106785748043</v>
      </c>
      <c r="R465" s="19">
        <f t="shared" ca="1" si="84"/>
        <v>-442.72284761994791</v>
      </c>
      <c r="S465" s="15">
        <f t="shared" ca="1" si="85"/>
        <v>1</v>
      </c>
    </row>
    <row r="466" spans="9:19">
      <c r="I466" s="15">
        <f t="shared" si="86"/>
        <v>462</v>
      </c>
      <c r="J466" s="16">
        <f t="shared" ca="1" si="87"/>
        <v>356.15274950435099</v>
      </c>
      <c r="K466" s="16">
        <f t="shared" ca="1" si="77"/>
        <v>270</v>
      </c>
      <c r="L466" s="16">
        <f t="shared" ca="1" si="78"/>
        <v>0</v>
      </c>
      <c r="M466" s="17">
        <f t="shared" ca="1" si="79"/>
        <v>1350</v>
      </c>
      <c r="N466" s="17">
        <f t="shared" si="80"/>
        <v>20</v>
      </c>
      <c r="O466" s="17">
        <f t="shared" si="81"/>
        <v>-810</v>
      </c>
      <c r="P466" s="18">
        <f t="shared" ca="1" si="82"/>
        <v>0</v>
      </c>
      <c r="Q466" s="18">
        <f t="shared" ca="1" si="83"/>
        <v>0</v>
      </c>
      <c r="R466" s="19">
        <f t="shared" ca="1" si="84"/>
        <v>560</v>
      </c>
      <c r="S466" s="15">
        <f t="shared" ca="1" si="85"/>
        <v>0</v>
      </c>
    </row>
    <row r="467" spans="9:19">
      <c r="I467" s="15">
        <f t="shared" si="86"/>
        <v>463</v>
      </c>
      <c r="J467" s="16">
        <f t="shared" ca="1" si="87"/>
        <v>275.49784912124852</v>
      </c>
      <c r="K467" s="16">
        <f t="shared" ca="1" si="77"/>
        <v>270</v>
      </c>
      <c r="L467" s="16">
        <f t="shared" ca="1" si="78"/>
        <v>0</v>
      </c>
      <c r="M467" s="17">
        <f t="shared" ca="1" si="79"/>
        <v>1350</v>
      </c>
      <c r="N467" s="17">
        <f t="shared" si="80"/>
        <v>20</v>
      </c>
      <c r="O467" s="17">
        <f t="shared" si="81"/>
        <v>-810</v>
      </c>
      <c r="P467" s="18">
        <f t="shared" ca="1" si="82"/>
        <v>0</v>
      </c>
      <c r="Q467" s="18">
        <f t="shared" ca="1" si="83"/>
        <v>0</v>
      </c>
      <c r="R467" s="19">
        <f t="shared" ca="1" si="84"/>
        <v>560</v>
      </c>
      <c r="S467" s="15">
        <f t="shared" ca="1" si="85"/>
        <v>0</v>
      </c>
    </row>
    <row r="468" spans="9:19">
      <c r="I468" s="15">
        <f t="shared" si="86"/>
        <v>464</v>
      </c>
      <c r="J468" s="16">
        <f t="shared" ca="1" si="87"/>
        <v>149.17793998323924</v>
      </c>
      <c r="K468" s="16">
        <f t="shared" ca="1" si="77"/>
        <v>120.82206001676076</v>
      </c>
      <c r="L468" s="16">
        <f t="shared" ca="1" si="78"/>
        <v>149.17793998323924</v>
      </c>
      <c r="M468" s="17">
        <f t="shared" ca="1" si="79"/>
        <v>604.11030008380385</v>
      </c>
      <c r="N468" s="17">
        <f t="shared" si="80"/>
        <v>20</v>
      </c>
      <c r="O468" s="17">
        <f t="shared" si="81"/>
        <v>-810</v>
      </c>
      <c r="P468" s="18">
        <f t="shared" ca="1" si="82"/>
        <v>-74.588969991619621</v>
      </c>
      <c r="Q468" s="18">
        <f t="shared" ca="1" si="83"/>
        <v>223.76690997485886</v>
      </c>
      <c r="R468" s="19">
        <f t="shared" ca="1" si="84"/>
        <v>-36.71175993295688</v>
      </c>
      <c r="S468" s="15">
        <f t="shared" ca="1" si="85"/>
        <v>1</v>
      </c>
    </row>
    <row r="469" spans="9:19">
      <c r="I469" s="15">
        <f t="shared" si="86"/>
        <v>465</v>
      </c>
      <c r="J469" s="16">
        <f t="shared" ca="1" si="87"/>
        <v>233.50144160005752</v>
      </c>
      <c r="K469" s="16">
        <f t="shared" ca="1" si="77"/>
        <v>36.498558399942482</v>
      </c>
      <c r="L469" s="16">
        <f t="shared" ca="1" si="78"/>
        <v>233.50144160005752</v>
      </c>
      <c r="M469" s="17">
        <f t="shared" ca="1" si="79"/>
        <v>182.49279199971241</v>
      </c>
      <c r="N469" s="17">
        <f t="shared" si="80"/>
        <v>20</v>
      </c>
      <c r="O469" s="17">
        <f t="shared" si="81"/>
        <v>-810</v>
      </c>
      <c r="P469" s="18">
        <f t="shared" ca="1" si="82"/>
        <v>-116.75072080002876</v>
      </c>
      <c r="Q469" s="18">
        <f t="shared" ca="1" si="83"/>
        <v>350.25216240008626</v>
      </c>
      <c r="R469" s="19">
        <f t="shared" ca="1" si="84"/>
        <v>-374.00576640023007</v>
      </c>
      <c r="S469" s="15">
        <f t="shared" ca="1" si="85"/>
        <v>1</v>
      </c>
    </row>
    <row r="470" spans="9:19">
      <c r="I470" s="15">
        <f t="shared" si="86"/>
        <v>466</v>
      </c>
      <c r="J470" s="16">
        <f t="shared" ca="1" si="87"/>
        <v>371.38437456003112</v>
      </c>
      <c r="K470" s="16">
        <f t="shared" ca="1" si="77"/>
        <v>270</v>
      </c>
      <c r="L470" s="16">
        <f t="shared" ca="1" si="78"/>
        <v>0</v>
      </c>
      <c r="M470" s="17">
        <f t="shared" ca="1" si="79"/>
        <v>1350</v>
      </c>
      <c r="N470" s="17">
        <f t="shared" si="80"/>
        <v>20</v>
      </c>
      <c r="O470" s="17">
        <f t="shared" si="81"/>
        <v>-810</v>
      </c>
      <c r="P470" s="18">
        <f t="shared" ca="1" si="82"/>
        <v>0</v>
      </c>
      <c r="Q470" s="18">
        <f t="shared" ca="1" si="83"/>
        <v>0</v>
      </c>
      <c r="R470" s="19">
        <f t="shared" ca="1" si="84"/>
        <v>560</v>
      </c>
      <c r="S470" s="15">
        <f t="shared" ca="1" si="85"/>
        <v>0</v>
      </c>
    </row>
    <row r="471" spans="9:19">
      <c r="I471" s="15">
        <f t="shared" si="86"/>
        <v>467</v>
      </c>
      <c r="J471" s="16">
        <f t="shared" ca="1" si="87"/>
        <v>404.24522549431725</v>
      </c>
      <c r="K471" s="16">
        <f t="shared" ca="1" si="77"/>
        <v>270</v>
      </c>
      <c r="L471" s="16">
        <f t="shared" ca="1" si="78"/>
        <v>0</v>
      </c>
      <c r="M471" s="17">
        <f t="shared" ca="1" si="79"/>
        <v>1350</v>
      </c>
      <c r="N471" s="17">
        <f t="shared" si="80"/>
        <v>20</v>
      </c>
      <c r="O471" s="17">
        <f t="shared" si="81"/>
        <v>-810</v>
      </c>
      <c r="P471" s="18">
        <f t="shared" ca="1" si="82"/>
        <v>0</v>
      </c>
      <c r="Q471" s="18">
        <f t="shared" ca="1" si="83"/>
        <v>0</v>
      </c>
      <c r="R471" s="19">
        <f t="shared" ca="1" si="84"/>
        <v>560</v>
      </c>
      <c r="S471" s="15">
        <f t="shared" ca="1" si="85"/>
        <v>0</v>
      </c>
    </row>
    <row r="472" spans="9:19">
      <c r="I472" s="15">
        <f t="shared" si="86"/>
        <v>468</v>
      </c>
      <c r="J472" s="16">
        <f t="shared" ca="1" si="87"/>
        <v>403.91445717566376</v>
      </c>
      <c r="K472" s="16">
        <f t="shared" ca="1" si="77"/>
        <v>270</v>
      </c>
      <c r="L472" s="16">
        <f t="shared" ca="1" si="78"/>
        <v>0</v>
      </c>
      <c r="M472" s="17">
        <f t="shared" ca="1" si="79"/>
        <v>1350</v>
      </c>
      <c r="N472" s="17">
        <f t="shared" si="80"/>
        <v>20</v>
      </c>
      <c r="O472" s="17">
        <f t="shared" si="81"/>
        <v>-810</v>
      </c>
      <c r="P472" s="18">
        <f t="shared" ca="1" si="82"/>
        <v>0</v>
      </c>
      <c r="Q472" s="18">
        <f t="shared" ca="1" si="83"/>
        <v>0</v>
      </c>
      <c r="R472" s="19">
        <f t="shared" ca="1" si="84"/>
        <v>560</v>
      </c>
      <c r="S472" s="15">
        <f t="shared" ca="1" si="85"/>
        <v>0</v>
      </c>
    </row>
    <row r="473" spans="9:19">
      <c r="I473" s="15">
        <f t="shared" si="86"/>
        <v>469</v>
      </c>
      <c r="J473" s="16">
        <f t="shared" ca="1" si="87"/>
        <v>176.33641286234672</v>
      </c>
      <c r="K473" s="16">
        <f t="shared" ca="1" si="77"/>
        <v>93.66358713765328</v>
      </c>
      <c r="L473" s="16">
        <f t="shared" ca="1" si="78"/>
        <v>176.33641286234672</v>
      </c>
      <c r="M473" s="17">
        <f t="shared" ca="1" si="79"/>
        <v>468.3179356882664</v>
      </c>
      <c r="N473" s="17">
        <f t="shared" si="80"/>
        <v>20</v>
      </c>
      <c r="O473" s="17">
        <f t="shared" si="81"/>
        <v>-810</v>
      </c>
      <c r="P473" s="18">
        <f t="shared" ca="1" si="82"/>
        <v>-88.16820643117336</v>
      </c>
      <c r="Q473" s="18">
        <f t="shared" ca="1" si="83"/>
        <v>264.50461929352008</v>
      </c>
      <c r="R473" s="19">
        <f t="shared" ca="1" si="84"/>
        <v>-145.34565144938688</v>
      </c>
      <c r="S473" s="15">
        <f t="shared" ca="1" si="85"/>
        <v>1</v>
      </c>
    </row>
    <row r="474" spans="9:19">
      <c r="I474" s="15">
        <f t="shared" si="86"/>
        <v>470</v>
      </c>
      <c r="J474" s="16">
        <f t="shared" ca="1" si="87"/>
        <v>206.77714230123325</v>
      </c>
      <c r="K474" s="16">
        <f t="shared" ca="1" si="77"/>
        <v>63.222857698766745</v>
      </c>
      <c r="L474" s="16">
        <f t="shared" ca="1" si="78"/>
        <v>206.77714230123325</v>
      </c>
      <c r="M474" s="17">
        <f t="shared" ca="1" si="79"/>
        <v>316.11428849383373</v>
      </c>
      <c r="N474" s="17">
        <f t="shared" si="80"/>
        <v>20</v>
      </c>
      <c r="O474" s="17">
        <f t="shared" si="81"/>
        <v>-810</v>
      </c>
      <c r="P474" s="18">
        <f t="shared" ca="1" si="82"/>
        <v>-103.38857115061663</v>
      </c>
      <c r="Q474" s="18">
        <f t="shared" ca="1" si="83"/>
        <v>310.16571345184991</v>
      </c>
      <c r="R474" s="19">
        <f t="shared" ca="1" si="84"/>
        <v>-267.10856920493302</v>
      </c>
      <c r="S474" s="15">
        <f t="shared" ca="1" si="85"/>
        <v>1</v>
      </c>
    </row>
    <row r="475" spans="9:19">
      <c r="I475" s="15">
        <f t="shared" si="86"/>
        <v>471</v>
      </c>
      <c r="J475" s="16">
        <f t="shared" ca="1" si="87"/>
        <v>241.68491775874628</v>
      </c>
      <c r="K475" s="16">
        <f t="shared" ca="1" si="77"/>
        <v>28.31508224125372</v>
      </c>
      <c r="L475" s="16">
        <f t="shared" ca="1" si="78"/>
        <v>241.68491775874628</v>
      </c>
      <c r="M475" s="17">
        <f t="shared" ca="1" si="79"/>
        <v>141.5754112062686</v>
      </c>
      <c r="N475" s="17">
        <f t="shared" si="80"/>
        <v>20</v>
      </c>
      <c r="O475" s="17">
        <f t="shared" si="81"/>
        <v>-810</v>
      </c>
      <c r="P475" s="18">
        <f t="shared" ca="1" si="82"/>
        <v>-120.84245887937314</v>
      </c>
      <c r="Q475" s="18">
        <f t="shared" ca="1" si="83"/>
        <v>362.52737663811945</v>
      </c>
      <c r="R475" s="19">
        <f t="shared" ca="1" si="84"/>
        <v>-406.73967103498501</v>
      </c>
      <c r="S475" s="15">
        <f t="shared" ca="1" si="85"/>
        <v>1</v>
      </c>
    </row>
    <row r="476" spans="9:19">
      <c r="I476" s="15">
        <f t="shared" si="86"/>
        <v>472</v>
      </c>
      <c r="J476" s="16">
        <f t="shared" ca="1" si="87"/>
        <v>399.44661544603099</v>
      </c>
      <c r="K476" s="16">
        <f t="shared" ca="1" si="77"/>
        <v>270</v>
      </c>
      <c r="L476" s="16">
        <f t="shared" ca="1" si="78"/>
        <v>0</v>
      </c>
      <c r="M476" s="17">
        <f t="shared" ca="1" si="79"/>
        <v>1350</v>
      </c>
      <c r="N476" s="17">
        <f t="shared" si="80"/>
        <v>20</v>
      </c>
      <c r="O476" s="17">
        <f t="shared" si="81"/>
        <v>-810</v>
      </c>
      <c r="P476" s="18">
        <f t="shared" ca="1" si="82"/>
        <v>0</v>
      </c>
      <c r="Q476" s="18">
        <f t="shared" ca="1" si="83"/>
        <v>0</v>
      </c>
      <c r="R476" s="19">
        <f t="shared" ca="1" si="84"/>
        <v>560</v>
      </c>
      <c r="S476" s="15">
        <f t="shared" ca="1" si="85"/>
        <v>0</v>
      </c>
    </row>
    <row r="477" spans="9:19">
      <c r="I477" s="15">
        <f t="shared" si="86"/>
        <v>473</v>
      </c>
      <c r="J477" s="16">
        <f t="shared" ca="1" si="87"/>
        <v>245.86447761073276</v>
      </c>
      <c r="K477" s="16">
        <f t="shared" ca="1" si="77"/>
        <v>24.135522389267237</v>
      </c>
      <c r="L477" s="16">
        <f t="shared" ca="1" si="78"/>
        <v>245.86447761073276</v>
      </c>
      <c r="M477" s="17">
        <f t="shared" ca="1" si="79"/>
        <v>120.67761194633619</v>
      </c>
      <c r="N477" s="17">
        <f t="shared" si="80"/>
        <v>20</v>
      </c>
      <c r="O477" s="17">
        <f t="shared" si="81"/>
        <v>-810</v>
      </c>
      <c r="P477" s="18">
        <f t="shared" ca="1" si="82"/>
        <v>-122.93223880536638</v>
      </c>
      <c r="Q477" s="18">
        <f t="shared" ca="1" si="83"/>
        <v>368.79671641609912</v>
      </c>
      <c r="R477" s="19">
        <f t="shared" ca="1" si="84"/>
        <v>-423.45791044293117</v>
      </c>
      <c r="S477" s="15">
        <f t="shared" ca="1" si="85"/>
        <v>1</v>
      </c>
    </row>
    <row r="478" spans="9:19">
      <c r="I478" s="15">
        <f t="shared" si="86"/>
        <v>474</v>
      </c>
      <c r="J478" s="16">
        <f t="shared" ca="1" si="87"/>
        <v>206.01098240954573</v>
      </c>
      <c r="K478" s="16">
        <f t="shared" ca="1" si="77"/>
        <v>63.989017590454267</v>
      </c>
      <c r="L478" s="16">
        <f t="shared" ca="1" si="78"/>
        <v>206.01098240954573</v>
      </c>
      <c r="M478" s="17">
        <f t="shared" ca="1" si="79"/>
        <v>319.94508795227136</v>
      </c>
      <c r="N478" s="17">
        <f t="shared" si="80"/>
        <v>20</v>
      </c>
      <c r="O478" s="17">
        <f t="shared" si="81"/>
        <v>-810</v>
      </c>
      <c r="P478" s="18">
        <f t="shared" ca="1" si="82"/>
        <v>-103.00549120477287</v>
      </c>
      <c r="Q478" s="18">
        <f t="shared" ca="1" si="83"/>
        <v>309.01647361431861</v>
      </c>
      <c r="R478" s="19">
        <f t="shared" ca="1" si="84"/>
        <v>-264.04392963818287</v>
      </c>
      <c r="S478" s="15">
        <f t="shared" ca="1" si="85"/>
        <v>1</v>
      </c>
    </row>
    <row r="479" spans="9:19">
      <c r="I479" s="15">
        <f t="shared" si="86"/>
        <v>475</v>
      </c>
      <c r="J479" s="16">
        <f t="shared" ca="1" si="87"/>
        <v>183.83814718469208</v>
      </c>
      <c r="K479" s="16">
        <f t="shared" ca="1" si="77"/>
        <v>86.161852815307924</v>
      </c>
      <c r="L479" s="16">
        <f t="shared" ca="1" si="78"/>
        <v>183.83814718469208</v>
      </c>
      <c r="M479" s="17">
        <f t="shared" ca="1" si="79"/>
        <v>430.80926407653965</v>
      </c>
      <c r="N479" s="17">
        <f t="shared" si="80"/>
        <v>20</v>
      </c>
      <c r="O479" s="17">
        <f t="shared" si="81"/>
        <v>-810</v>
      </c>
      <c r="P479" s="18">
        <f t="shared" ca="1" si="82"/>
        <v>-91.919073592346038</v>
      </c>
      <c r="Q479" s="18">
        <f t="shared" ca="1" si="83"/>
        <v>275.75722077703813</v>
      </c>
      <c r="R479" s="19">
        <f t="shared" ca="1" si="84"/>
        <v>-175.35258873876825</v>
      </c>
      <c r="S479" s="15">
        <f t="shared" ca="1" si="85"/>
        <v>1</v>
      </c>
    </row>
    <row r="480" spans="9:19">
      <c r="I480" s="15">
        <f t="shared" si="86"/>
        <v>476</v>
      </c>
      <c r="J480" s="16">
        <f t="shared" ca="1" si="87"/>
        <v>266.40081968272659</v>
      </c>
      <c r="K480" s="16">
        <f t="shared" ca="1" si="77"/>
        <v>3.599180317273408</v>
      </c>
      <c r="L480" s="16">
        <f t="shared" ca="1" si="78"/>
        <v>266.40081968272659</v>
      </c>
      <c r="M480" s="17">
        <f t="shared" ca="1" si="79"/>
        <v>17.99590158636704</v>
      </c>
      <c r="N480" s="17">
        <f t="shared" si="80"/>
        <v>20</v>
      </c>
      <c r="O480" s="17">
        <f t="shared" si="81"/>
        <v>-810</v>
      </c>
      <c r="P480" s="18">
        <f t="shared" ca="1" si="82"/>
        <v>-133.2004098413633</v>
      </c>
      <c r="Q480" s="18">
        <f t="shared" ca="1" si="83"/>
        <v>399.60122952408989</v>
      </c>
      <c r="R480" s="19">
        <f t="shared" ca="1" si="84"/>
        <v>-505.60327873090631</v>
      </c>
      <c r="S480" s="15">
        <f t="shared" ca="1" si="85"/>
        <v>1</v>
      </c>
    </row>
    <row r="481" spans="9:19">
      <c r="I481" s="15">
        <f t="shared" si="86"/>
        <v>477</v>
      </c>
      <c r="J481" s="16">
        <f t="shared" ca="1" si="87"/>
        <v>380.66947600691037</v>
      </c>
      <c r="K481" s="16">
        <f t="shared" ca="1" si="77"/>
        <v>270</v>
      </c>
      <c r="L481" s="16">
        <f t="shared" ca="1" si="78"/>
        <v>0</v>
      </c>
      <c r="M481" s="17">
        <f t="shared" ca="1" si="79"/>
        <v>1350</v>
      </c>
      <c r="N481" s="17">
        <f t="shared" si="80"/>
        <v>20</v>
      </c>
      <c r="O481" s="17">
        <f t="shared" si="81"/>
        <v>-810</v>
      </c>
      <c r="P481" s="18">
        <f t="shared" ca="1" si="82"/>
        <v>0</v>
      </c>
      <c r="Q481" s="18">
        <f t="shared" ca="1" si="83"/>
        <v>0</v>
      </c>
      <c r="R481" s="19">
        <f t="shared" ca="1" si="84"/>
        <v>560</v>
      </c>
      <c r="S481" s="15">
        <f t="shared" ca="1" si="85"/>
        <v>0</v>
      </c>
    </row>
    <row r="482" spans="9:19">
      <c r="I482" s="15">
        <f t="shared" si="86"/>
        <v>478</v>
      </c>
      <c r="J482" s="16">
        <f t="shared" ca="1" si="87"/>
        <v>133.85095127375936</v>
      </c>
      <c r="K482" s="16">
        <f t="shared" ca="1" si="77"/>
        <v>136.14904872624064</v>
      </c>
      <c r="L482" s="16">
        <f t="shared" ca="1" si="78"/>
        <v>133.85095127375936</v>
      </c>
      <c r="M482" s="17">
        <f t="shared" ca="1" si="79"/>
        <v>680.74524363120315</v>
      </c>
      <c r="N482" s="17">
        <f t="shared" si="80"/>
        <v>20</v>
      </c>
      <c r="O482" s="17">
        <f t="shared" si="81"/>
        <v>-810</v>
      </c>
      <c r="P482" s="18">
        <f t="shared" ca="1" si="82"/>
        <v>-66.925475636879682</v>
      </c>
      <c r="Q482" s="18">
        <f t="shared" ca="1" si="83"/>
        <v>200.77642691063903</v>
      </c>
      <c r="R482" s="19">
        <f t="shared" ca="1" si="84"/>
        <v>24.596194904962488</v>
      </c>
      <c r="S482" s="15">
        <f t="shared" ca="1" si="85"/>
        <v>0</v>
      </c>
    </row>
    <row r="483" spans="9:19">
      <c r="I483" s="15">
        <f t="shared" si="86"/>
        <v>479</v>
      </c>
      <c r="J483" s="16">
        <f t="shared" ca="1" si="87"/>
        <v>221.10635190370925</v>
      </c>
      <c r="K483" s="16">
        <f t="shared" ca="1" si="77"/>
        <v>48.893648096290747</v>
      </c>
      <c r="L483" s="16">
        <f t="shared" ca="1" si="78"/>
        <v>221.10635190370925</v>
      </c>
      <c r="M483" s="17">
        <f t="shared" ca="1" si="79"/>
        <v>244.46824048145373</v>
      </c>
      <c r="N483" s="17">
        <f t="shared" si="80"/>
        <v>20</v>
      </c>
      <c r="O483" s="17">
        <f t="shared" si="81"/>
        <v>-810</v>
      </c>
      <c r="P483" s="18">
        <f t="shared" ca="1" si="82"/>
        <v>-110.55317595185463</v>
      </c>
      <c r="Q483" s="18">
        <f t="shared" ca="1" si="83"/>
        <v>331.65952785556385</v>
      </c>
      <c r="R483" s="19">
        <f t="shared" ca="1" si="84"/>
        <v>-324.42540761483713</v>
      </c>
      <c r="S483" s="15">
        <f t="shared" ca="1" si="85"/>
        <v>1</v>
      </c>
    </row>
    <row r="484" spans="9:19">
      <c r="I484" s="15">
        <f t="shared" si="86"/>
        <v>480</v>
      </c>
      <c r="J484" s="16">
        <f t="shared" ca="1" si="87"/>
        <v>405.57517122823702</v>
      </c>
      <c r="K484" s="16">
        <f t="shared" ca="1" si="77"/>
        <v>270</v>
      </c>
      <c r="L484" s="16">
        <f t="shared" ca="1" si="78"/>
        <v>0</v>
      </c>
      <c r="M484" s="17">
        <f t="shared" ca="1" si="79"/>
        <v>1350</v>
      </c>
      <c r="N484" s="17">
        <f t="shared" si="80"/>
        <v>20</v>
      </c>
      <c r="O484" s="17">
        <f t="shared" si="81"/>
        <v>-810</v>
      </c>
      <c r="P484" s="18">
        <f t="shared" ca="1" si="82"/>
        <v>0</v>
      </c>
      <c r="Q484" s="18">
        <f t="shared" ca="1" si="83"/>
        <v>0</v>
      </c>
      <c r="R484" s="19">
        <f t="shared" ca="1" si="84"/>
        <v>560</v>
      </c>
      <c r="S484" s="15">
        <f t="shared" ca="1" si="85"/>
        <v>0</v>
      </c>
    </row>
    <row r="485" spans="9:19">
      <c r="I485" s="15">
        <f t="shared" si="86"/>
        <v>481</v>
      </c>
      <c r="J485" s="16">
        <f t="shared" ca="1" si="87"/>
        <v>184.72375079048103</v>
      </c>
      <c r="K485" s="16">
        <f t="shared" ca="1" si="77"/>
        <v>85.276249209518966</v>
      </c>
      <c r="L485" s="16">
        <f t="shared" ca="1" si="78"/>
        <v>184.72375079048103</v>
      </c>
      <c r="M485" s="17">
        <f t="shared" ca="1" si="79"/>
        <v>426.3812460475948</v>
      </c>
      <c r="N485" s="17">
        <f t="shared" si="80"/>
        <v>20</v>
      </c>
      <c r="O485" s="17">
        <f t="shared" si="81"/>
        <v>-810</v>
      </c>
      <c r="P485" s="18">
        <f t="shared" ca="1" si="82"/>
        <v>-92.361875395240517</v>
      </c>
      <c r="Q485" s="18">
        <f t="shared" ca="1" si="83"/>
        <v>277.08562618572154</v>
      </c>
      <c r="R485" s="19">
        <f t="shared" ca="1" si="84"/>
        <v>-178.89500316192419</v>
      </c>
      <c r="S485" s="15">
        <f t="shared" ca="1" si="85"/>
        <v>1</v>
      </c>
    </row>
    <row r="486" spans="9:19">
      <c r="I486" s="15">
        <f t="shared" si="86"/>
        <v>482</v>
      </c>
      <c r="J486" s="16">
        <f t="shared" ca="1" si="87"/>
        <v>415.58966677491765</v>
      </c>
      <c r="K486" s="16">
        <f t="shared" ca="1" si="77"/>
        <v>270</v>
      </c>
      <c r="L486" s="16">
        <f t="shared" ca="1" si="78"/>
        <v>0</v>
      </c>
      <c r="M486" s="17">
        <f t="shared" ca="1" si="79"/>
        <v>1350</v>
      </c>
      <c r="N486" s="17">
        <f t="shared" si="80"/>
        <v>20</v>
      </c>
      <c r="O486" s="17">
        <f t="shared" si="81"/>
        <v>-810</v>
      </c>
      <c r="P486" s="18">
        <f t="shared" ca="1" si="82"/>
        <v>0</v>
      </c>
      <c r="Q486" s="18">
        <f t="shared" ca="1" si="83"/>
        <v>0</v>
      </c>
      <c r="R486" s="19">
        <f t="shared" ca="1" si="84"/>
        <v>560</v>
      </c>
      <c r="S486" s="15">
        <f t="shared" ca="1" si="85"/>
        <v>0</v>
      </c>
    </row>
    <row r="487" spans="9:19">
      <c r="I487" s="15">
        <f t="shared" si="86"/>
        <v>483</v>
      </c>
      <c r="J487" s="16">
        <f t="shared" ca="1" si="87"/>
        <v>308.72964520013471</v>
      </c>
      <c r="K487" s="16">
        <f t="shared" ca="1" si="77"/>
        <v>270</v>
      </c>
      <c r="L487" s="16">
        <f t="shared" ca="1" si="78"/>
        <v>0</v>
      </c>
      <c r="M487" s="17">
        <f t="shared" ca="1" si="79"/>
        <v>1350</v>
      </c>
      <c r="N487" s="17">
        <f t="shared" si="80"/>
        <v>20</v>
      </c>
      <c r="O487" s="17">
        <f t="shared" si="81"/>
        <v>-810</v>
      </c>
      <c r="P487" s="18">
        <f t="shared" ca="1" si="82"/>
        <v>0</v>
      </c>
      <c r="Q487" s="18">
        <f t="shared" ca="1" si="83"/>
        <v>0</v>
      </c>
      <c r="R487" s="19">
        <f t="shared" ca="1" si="84"/>
        <v>560</v>
      </c>
      <c r="S487" s="15">
        <f t="shared" ca="1" si="85"/>
        <v>0</v>
      </c>
    </row>
    <row r="488" spans="9:19">
      <c r="I488" s="15">
        <f t="shared" si="86"/>
        <v>484</v>
      </c>
      <c r="J488" s="16">
        <f t="shared" ca="1" si="87"/>
        <v>311.39095360878287</v>
      </c>
      <c r="K488" s="16">
        <f t="shared" ca="1" si="77"/>
        <v>270</v>
      </c>
      <c r="L488" s="16">
        <f t="shared" ca="1" si="78"/>
        <v>0</v>
      </c>
      <c r="M488" s="17">
        <f t="shared" ca="1" si="79"/>
        <v>1350</v>
      </c>
      <c r="N488" s="17">
        <f t="shared" si="80"/>
        <v>20</v>
      </c>
      <c r="O488" s="17">
        <f t="shared" si="81"/>
        <v>-810</v>
      </c>
      <c r="P488" s="18">
        <f t="shared" ca="1" si="82"/>
        <v>0</v>
      </c>
      <c r="Q488" s="18">
        <f t="shared" ca="1" si="83"/>
        <v>0</v>
      </c>
      <c r="R488" s="19">
        <f t="shared" ca="1" si="84"/>
        <v>560</v>
      </c>
      <c r="S488" s="15">
        <f t="shared" ca="1" si="85"/>
        <v>0</v>
      </c>
    </row>
    <row r="489" spans="9:19">
      <c r="I489" s="15">
        <f t="shared" si="86"/>
        <v>485</v>
      </c>
      <c r="J489" s="16">
        <f t="shared" ca="1" si="87"/>
        <v>308.27391903277862</v>
      </c>
      <c r="K489" s="16">
        <f t="shared" ca="1" si="77"/>
        <v>270</v>
      </c>
      <c r="L489" s="16">
        <f t="shared" ca="1" si="78"/>
        <v>0</v>
      </c>
      <c r="M489" s="17">
        <f t="shared" ca="1" si="79"/>
        <v>1350</v>
      </c>
      <c r="N489" s="17">
        <f t="shared" si="80"/>
        <v>20</v>
      </c>
      <c r="O489" s="17">
        <f t="shared" si="81"/>
        <v>-810</v>
      </c>
      <c r="P489" s="18">
        <f t="shared" ca="1" si="82"/>
        <v>0</v>
      </c>
      <c r="Q489" s="18">
        <f t="shared" ca="1" si="83"/>
        <v>0</v>
      </c>
      <c r="R489" s="19">
        <f t="shared" ca="1" si="84"/>
        <v>560</v>
      </c>
      <c r="S489" s="15">
        <f t="shared" ca="1" si="85"/>
        <v>0</v>
      </c>
    </row>
    <row r="490" spans="9:19">
      <c r="I490" s="15">
        <f t="shared" si="86"/>
        <v>486</v>
      </c>
      <c r="J490" s="16">
        <f t="shared" ca="1" si="87"/>
        <v>404.65796346976282</v>
      </c>
      <c r="K490" s="16">
        <f t="shared" ca="1" si="77"/>
        <v>270</v>
      </c>
      <c r="L490" s="16">
        <f t="shared" ca="1" si="78"/>
        <v>0</v>
      </c>
      <c r="M490" s="17">
        <f t="shared" ca="1" si="79"/>
        <v>1350</v>
      </c>
      <c r="N490" s="17">
        <f t="shared" si="80"/>
        <v>20</v>
      </c>
      <c r="O490" s="17">
        <f t="shared" si="81"/>
        <v>-810</v>
      </c>
      <c r="P490" s="18">
        <f t="shared" ca="1" si="82"/>
        <v>0</v>
      </c>
      <c r="Q490" s="18">
        <f t="shared" ca="1" si="83"/>
        <v>0</v>
      </c>
      <c r="R490" s="19">
        <f t="shared" ca="1" si="84"/>
        <v>560</v>
      </c>
      <c r="S490" s="15">
        <f t="shared" ca="1" si="85"/>
        <v>0</v>
      </c>
    </row>
    <row r="491" spans="9:19">
      <c r="I491" s="15">
        <f t="shared" si="86"/>
        <v>487</v>
      </c>
      <c r="J491" s="16">
        <f t="shared" ca="1" si="87"/>
        <v>234.05633882161976</v>
      </c>
      <c r="K491" s="16">
        <f t="shared" ca="1" si="77"/>
        <v>35.943661178380239</v>
      </c>
      <c r="L491" s="16">
        <f t="shared" ca="1" si="78"/>
        <v>234.05633882161976</v>
      </c>
      <c r="M491" s="17">
        <f t="shared" ca="1" si="79"/>
        <v>179.7183058919012</v>
      </c>
      <c r="N491" s="17">
        <f t="shared" si="80"/>
        <v>20</v>
      </c>
      <c r="O491" s="17">
        <f t="shared" si="81"/>
        <v>-810</v>
      </c>
      <c r="P491" s="18">
        <f t="shared" ca="1" si="82"/>
        <v>-117.02816941080988</v>
      </c>
      <c r="Q491" s="18">
        <f t="shared" ca="1" si="83"/>
        <v>351.08450823242964</v>
      </c>
      <c r="R491" s="19">
        <f t="shared" ca="1" si="84"/>
        <v>-376.2253552864791</v>
      </c>
      <c r="S491" s="15">
        <f t="shared" ca="1" si="85"/>
        <v>1</v>
      </c>
    </row>
    <row r="492" spans="9:19">
      <c r="I492" s="15">
        <f t="shared" si="86"/>
        <v>488</v>
      </c>
      <c r="J492" s="16">
        <f t="shared" ca="1" si="87"/>
        <v>240.82486620692521</v>
      </c>
      <c r="K492" s="16">
        <f t="shared" ca="1" si="77"/>
        <v>29.175133793074792</v>
      </c>
      <c r="L492" s="16">
        <f t="shared" ca="1" si="78"/>
        <v>240.82486620692521</v>
      </c>
      <c r="M492" s="17">
        <f t="shared" ca="1" si="79"/>
        <v>145.87566896537396</v>
      </c>
      <c r="N492" s="17">
        <f t="shared" si="80"/>
        <v>20</v>
      </c>
      <c r="O492" s="17">
        <f t="shared" si="81"/>
        <v>-810</v>
      </c>
      <c r="P492" s="18">
        <f t="shared" ca="1" si="82"/>
        <v>-120.4124331034626</v>
      </c>
      <c r="Q492" s="18">
        <f t="shared" ca="1" si="83"/>
        <v>361.23729931038781</v>
      </c>
      <c r="R492" s="19">
        <f t="shared" ca="1" si="84"/>
        <v>-403.29946482770083</v>
      </c>
      <c r="S492" s="15">
        <f t="shared" ca="1" si="85"/>
        <v>1</v>
      </c>
    </row>
    <row r="493" spans="9:19">
      <c r="I493" s="15">
        <f t="shared" si="86"/>
        <v>489</v>
      </c>
      <c r="J493" s="16">
        <f t="shared" ca="1" si="87"/>
        <v>377.01779412618555</v>
      </c>
      <c r="K493" s="16">
        <f t="shared" ca="1" si="77"/>
        <v>270</v>
      </c>
      <c r="L493" s="16">
        <f t="shared" ca="1" si="78"/>
        <v>0</v>
      </c>
      <c r="M493" s="17">
        <f t="shared" ca="1" si="79"/>
        <v>1350</v>
      </c>
      <c r="N493" s="17">
        <f t="shared" si="80"/>
        <v>20</v>
      </c>
      <c r="O493" s="17">
        <f t="shared" si="81"/>
        <v>-810</v>
      </c>
      <c r="P493" s="18">
        <f t="shared" ca="1" si="82"/>
        <v>0</v>
      </c>
      <c r="Q493" s="18">
        <f t="shared" ca="1" si="83"/>
        <v>0</v>
      </c>
      <c r="R493" s="19">
        <f t="shared" ca="1" si="84"/>
        <v>560</v>
      </c>
      <c r="S493" s="15">
        <f t="shared" ca="1" si="85"/>
        <v>0</v>
      </c>
    </row>
    <row r="494" spans="9:19">
      <c r="I494" s="15">
        <f t="shared" si="86"/>
        <v>490</v>
      </c>
      <c r="J494" s="16">
        <f t="shared" ca="1" si="87"/>
        <v>283.85785408238985</v>
      </c>
      <c r="K494" s="16">
        <f t="shared" ca="1" si="77"/>
        <v>270</v>
      </c>
      <c r="L494" s="16">
        <f t="shared" ca="1" si="78"/>
        <v>0</v>
      </c>
      <c r="M494" s="17">
        <f t="shared" ca="1" si="79"/>
        <v>1350</v>
      </c>
      <c r="N494" s="17">
        <f t="shared" si="80"/>
        <v>20</v>
      </c>
      <c r="O494" s="17">
        <f t="shared" si="81"/>
        <v>-810</v>
      </c>
      <c r="P494" s="18">
        <f t="shared" ca="1" si="82"/>
        <v>0</v>
      </c>
      <c r="Q494" s="18">
        <f t="shared" ca="1" si="83"/>
        <v>0</v>
      </c>
      <c r="R494" s="19">
        <f t="shared" ca="1" si="84"/>
        <v>560</v>
      </c>
      <c r="S494" s="15">
        <f t="shared" ca="1" si="85"/>
        <v>0</v>
      </c>
    </row>
    <row r="495" spans="9:19">
      <c r="I495" s="15">
        <f t="shared" si="86"/>
        <v>491</v>
      </c>
      <c r="J495" s="16">
        <f t="shared" ca="1" si="87"/>
        <v>408.73496882259138</v>
      </c>
      <c r="K495" s="16">
        <f t="shared" ca="1" si="77"/>
        <v>270</v>
      </c>
      <c r="L495" s="16">
        <f t="shared" ca="1" si="78"/>
        <v>0</v>
      </c>
      <c r="M495" s="17">
        <f t="shared" ca="1" si="79"/>
        <v>1350</v>
      </c>
      <c r="N495" s="17">
        <f t="shared" si="80"/>
        <v>20</v>
      </c>
      <c r="O495" s="17">
        <f t="shared" si="81"/>
        <v>-810</v>
      </c>
      <c r="P495" s="18">
        <f t="shared" ca="1" si="82"/>
        <v>0</v>
      </c>
      <c r="Q495" s="18">
        <f t="shared" ca="1" si="83"/>
        <v>0</v>
      </c>
      <c r="R495" s="19">
        <f t="shared" ca="1" si="84"/>
        <v>560</v>
      </c>
      <c r="S495" s="15">
        <f t="shared" ca="1" si="85"/>
        <v>0</v>
      </c>
    </row>
    <row r="496" spans="9:19">
      <c r="I496" s="15">
        <f t="shared" si="86"/>
        <v>492</v>
      </c>
      <c r="J496" s="16">
        <f t="shared" ca="1" si="87"/>
        <v>273.46810713566572</v>
      </c>
      <c r="K496" s="16">
        <f t="shared" ca="1" si="77"/>
        <v>270</v>
      </c>
      <c r="L496" s="16">
        <f t="shared" ca="1" si="78"/>
        <v>0</v>
      </c>
      <c r="M496" s="17">
        <f t="shared" ca="1" si="79"/>
        <v>1350</v>
      </c>
      <c r="N496" s="17">
        <f t="shared" si="80"/>
        <v>20</v>
      </c>
      <c r="O496" s="17">
        <f t="shared" si="81"/>
        <v>-810</v>
      </c>
      <c r="P496" s="18">
        <f t="shared" ca="1" si="82"/>
        <v>0</v>
      </c>
      <c r="Q496" s="18">
        <f t="shared" ca="1" si="83"/>
        <v>0</v>
      </c>
      <c r="R496" s="19">
        <f t="shared" ca="1" si="84"/>
        <v>560</v>
      </c>
      <c r="S496" s="15">
        <f t="shared" ca="1" si="85"/>
        <v>0</v>
      </c>
    </row>
    <row r="497" spans="9:19">
      <c r="I497" s="15">
        <f t="shared" si="86"/>
        <v>493</v>
      </c>
      <c r="J497" s="16">
        <f t="shared" ca="1" si="87"/>
        <v>368.9919995485804</v>
      </c>
      <c r="K497" s="16">
        <f t="shared" ca="1" si="77"/>
        <v>270</v>
      </c>
      <c r="L497" s="16">
        <f t="shared" ca="1" si="78"/>
        <v>0</v>
      </c>
      <c r="M497" s="17">
        <f t="shared" ca="1" si="79"/>
        <v>1350</v>
      </c>
      <c r="N497" s="17">
        <f t="shared" si="80"/>
        <v>20</v>
      </c>
      <c r="O497" s="17">
        <f t="shared" si="81"/>
        <v>-810</v>
      </c>
      <c r="P497" s="18">
        <f t="shared" ca="1" si="82"/>
        <v>0</v>
      </c>
      <c r="Q497" s="18">
        <f t="shared" ca="1" si="83"/>
        <v>0</v>
      </c>
      <c r="R497" s="19">
        <f t="shared" ca="1" si="84"/>
        <v>560</v>
      </c>
      <c r="S497" s="15">
        <f t="shared" ca="1" si="85"/>
        <v>0</v>
      </c>
    </row>
    <row r="498" spans="9:19">
      <c r="I498" s="15">
        <f t="shared" si="86"/>
        <v>494</v>
      </c>
      <c r="J498" s="16">
        <f t="shared" ca="1" si="87"/>
        <v>403.01565386074424</v>
      </c>
      <c r="K498" s="16">
        <f t="shared" ca="1" si="77"/>
        <v>270</v>
      </c>
      <c r="L498" s="16">
        <f t="shared" ca="1" si="78"/>
        <v>0</v>
      </c>
      <c r="M498" s="17">
        <f t="shared" ca="1" si="79"/>
        <v>1350</v>
      </c>
      <c r="N498" s="17">
        <f t="shared" si="80"/>
        <v>20</v>
      </c>
      <c r="O498" s="17">
        <f t="shared" si="81"/>
        <v>-810</v>
      </c>
      <c r="P498" s="18">
        <f t="shared" ca="1" si="82"/>
        <v>0</v>
      </c>
      <c r="Q498" s="18">
        <f t="shared" ca="1" si="83"/>
        <v>0</v>
      </c>
      <c r="R498" s="19">
        <f t="shared" ca="1" si="84"/>
        <v>560</v>
      </c>
      <c r="S498" s="15">
        <f t="shared" ca="1" si="85"/>
        <v>0</v>
      </c>
    </row>
    <row r="499" spans="9:19">
      <c r="I499" s="15">
        <f t="shared" si="86"/>
        <v>495</v>
      </c>
      <c r="J499" s="16">
        <f t="shared" ca="1" si="87"/>
        <v>167.43010113883781</v>
      </c>
      <c r="K499" s="16">
        <f t="shared" ca="1" si="77"/>
        <v>102.56989886116219</v>
      </c>
      <c r="L499" s="16">
        <f t="shared" ca="1" si="78"/>
        <v>167.43010113883781</v>
      </c>
      <c r="M499" s="17">
        <f t="shared" ca="1" si="79"/>
        <v>512.84949430581094</v>
      </c>
      <c r="N499" s="17">
        <f t="shared" si="80"/>
        <v>20</v>
      </c>
      <c r="O499" s="17">
        <f t="shared" si="81"/>
        <v>-810</v>
      </c>
      <c r="P499" s="18">
        <f t="shared" ca="1" si="82"/>
        <v>-83.715050569418906</v>
      </c>
      <c r="Q499" s="18">
        <f t="shared" ca="1" si="83"/>
        <v>251.14515170825672</v>
      </c>
      <c r="R499" s="19">
        <f t="shared" ca="1" si="84"/>
        <v>-109.72040455535125</v>
      </c>
      <c r="S499" s="15">
        <f t="shared" ca="1" si="85"/>
        <v>1</v>
      </c>
    </row>
    <row r="500" spans="9:19">
      <c r="I500" s="15">
        <f t="shared" si="86"/>
        <v>496</v>
      </c>
      <c r="J500" s="16">
        <f t="shared" ca="1" si="87"/>
        <v>293.66058549471177</v>
      </c>
      <c r="K500" s="16">
        <f t="shared" ca="1" si="77"/>
        <v>270</v>
      </c>
      <c r="L500" s="16">
        <f t="shared" ca="1" si="78"/>
        <v>0</v>
      </c>
      <c r="M500" s="17">
        <f t="shared" ca="1" si="79"/>
        <v>1350</v>
      </c>
      <c r="N500" s="17">
        <f t="shared" si="80"/>
        <v>20</v>
      </c>
      <c r="O500" s="17">
        <f t="shared" si="81"/>
        <v>-810</v>
      </c>
      <c r="P500" s="18">
        <f t="shared" ca="1" si="82"/>
        <v>0</v>
      </c>
      <c r="Q500" s="18">
        <f t="shared" ca="1" si="83"/>
        <v>0</v>
      </c>
      <c r="R500" s="19">
        <f t="shared" ca="1" si="84"/>
        <v>560</v>
      </c>
      <c r="S500" s="15">
        <f t="shared" ca="1" si="85"/>
        <v>0</v>
      </c>
    </row>
    <row r="501" spans="9:19">
      <c r="I501" s="15">
        <f t="shared" si="86"/>
        <v>497</v>
      </c>
      <c r="J501" s="16">
        <f t="shared" ca="1" si="87"/>
        <v>286.90780631565627</v>
      </c>
      <c r="K501" s="16">
        <f t="shared" ca="1" si="77"/>
        <v>270</v>
      </c>
      <c r="L501" s="16">
        <f t="shared" ca="1" si="78"/>
        <v>0</v>
      </c>
      <c r="M501" s="17">
        <f t="shared" ca="1" si="79"/>
        <v>1350</v>
      </c>
      <c r="N501" s="17">
        <f t="shared" si="80"/>
        <v>20</v>
      </c>
      <c r="O501" s="17">
        <f t="shared" si="81"/>
        <v>-810</v>
      </c>
      <c r="P501" s="18">
        <f t="shared" ca="1" si="82"/>
        <v>0</v>
      </c>
      <c r="Q501" s="18">
        <f t="shared" ca="1" si="83"/>
        <v>0</v>
      </c>
      <c r="R501" s="19">
        <f t="shared" ca="1" si="84"/>
        <v>560</v>
      </c>
      <c r="S501" s="15">
        <f t="shared" ca="1" si="85"/>
        <v>0</v>
      </c>
    </row>
    <row r="502" spans="9:19">
      <c r="I502" s="15">
        <f t="shared" si="86"/>
        <v>498</v>
      </c>
      <c r="J502" s="16">
        <f t="shared" ca="1" si="87"/>
        <v>410.44104753897255</v>
      </c>
      <c r="K502" s="16">
        <f t="shared" ca="1" si="77"/>
        <v>270</v>
      </c>
      <c r="L502" s="16">
        <f t="shared" ca="1" si="78"/>
        <v>0</v>
      </c>
      <c r="M502" s="17">
        <f t="shared" ca="1" si="79"/>
        <v>1350</v>
      </c>
      <c r="N502" s="17">
        <f t="shared" si="80"/>
        <v>20</v>
      </c>
      <c r="O502" s="17">
        <f t="shared" si="81"/>
        <v>-810</v>
      </c>
      <c r="P502" s="18">
        <f t="shared" ca="1" si="82"/>
        <v>0</v>
      </c>
      <c r="Q502" s="18">
        <f t="shared" ca="1" si="83"/>
        <v>0</v>
      </c>
      <c r="R502" s="19">
        <f ca="1">SUM(M502:Q502)</f>
        <v>560</v>
      </c>
      <c r="S502" s="15">
        <f t="shared" ca="1" si="85"/>
        <v>0</v>
      </c>
    </row>
    <row r="503" spans="9:19">
      <c r="I503" s="15">
        <f t="shared" si="86"/>
        <v>499</v>
      </c>
      <c r="J503" s="16">
        <f t="shared" ca="1" si="87"/>
        <v>236.73254893286341</v>
      </c>
      <c r="K503" s="16">
        <f t="shared" ca="1" si="77"/>
        <v>33.267451067136591</v>
      </c>
      <c r="L503" s="16">
        <f t="shared" ca="1" si="78"/>
        <v>236.73254893286341</v>
      </c>
      <c r="M503" s="17">
        <f t="shared" ca="1" si="79"/>
        <v>166.33725533568295</v>
      </c>
      <c r="N503" s="17">
        <f t="shared" si="80"/>
        <v>20</v>
      </c>
      <c r="O503" s="17">
        <f t="shared" si="81"/>
        <v>-810</v>
      </c>
      <c r="P503" s="18">
        <f t="shared" ca="1" si="82"/>
        <v>-118.3662744664317</v>
      </c>
      <c r="Q503" s="18">
        <f t="shared" ca="1" si="83"/>
        <v>355.0988233992951</v>
      </c>
      <c r="R503" s="19">
        <f t="shared" ca="1" si="84"/>
        <v>-386.93019573145369</v>
      </c>
      <c r="S503" s="15">
        <f t="shared" ca="1" si="85"/>
        <v>1</v>
      </c>
    </row>
    <row r="504" spans="9:19">
      <c r="I504" s="15">
        <f t="shared" si="86"/>
        <v>500</v>
      </c>
      <c r="J504" s="16">
        <f t="shared" ca="1" si="87"/>
        <v>390.49855555358999</v>
      </c>
      <c r="K504" s="16">
        <f t="shared" ca="1" si="77"/>
        <v>270</v>
      </c>
      <c r="L504" s="16">
        <f t="shared" ca="1" si="78"/>
        <v>0</v>
      </c>
      <c r="M504" s="17">
        <f t="shared" ca="1" si="79"/>
        <v>1350</v>
      </c>
      <c r="N504" s="17">
        <f t="shared" si="80"/>
        <v>20</v>
      </c>
      <c r="O504" s="17">
        <f t="shared" si="81"/>
        <v>-810</v>
      </c>
      <c r="P504" s="18">
        <f t="shared" ca="1" si="82"/>
        <v>0</v>
      </c>
      <c r="Q504" s="18">
        <f t="shared" ca="1" si="83"/>
        <v>0</v>
      </c>
      <c r="R504" s="19">
        <f t="shared" ca="1" si="84"/>
        <v>560</v>
      </c>
      <c r="S504" s="15">
        <f t="shared" ca="1" si="85"/>
        <v>0</v>
      </c>
    </row>
    <row r="505" spans="9:19">
      <c r="J505" s="16"/>
      <c r="Q505" s="8" t="s">
        <v>199</v>
      </c>
      <c r="R505" s="19">
        <f ca="1">AVERAGE(R5:R504)</f>
        <v>160.13906259559522</v>
      </c>
    </row>
    <row r="506" spans="9:19">
      <c r="J506" s="16"/>
      <c r="Q506" s="8" t="s">
        <v>38</v>
      </c>
      <c r="R506" s="19">
        <f>'4'!N33</f>
        <v>370</v>
      </c>
    </row>
    <row r="507" spans="9:19">
      <c r="J507" s="16"/>
      <c r="Q507" s="8" t="s">
        <v>200</v>
      </c>
      <c r="R507" s="22">
        <f ca="1">STDEV(R5:R504)</f>
        <v>412.61785843997762</v>
      </c>
    </row>
    <row r="508" spans="9:19">
      <c r="J508" s="16"/>
      <c r="Q508" s="8" t="s">
        <v>39</v>
      </c>
      <c r="R508" s="20">
        <f ca="1">SUM(S5:S504)</f>
        <v>218</v>
      </c>
    </row>
    <row r="509" spans="9:19">
      <c r="J509" s="16"/>
      <c r="Q509" s="8" t="s">
        <v>41</v>
      </c>
      <c r="R509" s="20">
        <f ca="1">R508/500</f>
        <v>0.436</v>
      </c>
    </row>
    <row r="510" spans="9:19">
      <c r="J510" s="16"/>
    </row>
    <row r="511" spans="9:19">
      <c r="J511" s="16"/>
    </row>
    <row r="512" spans="9:19">
      <c r="J512" s="16"/>
    </row>
    <row r="513" spans="10:10">
      <c r="J513" s="16"/>
    </row>
    <row r="514" spans="10:10">
      <c r="J514" s="16"/>
    </row>
    <row r="515" spans="10:10">
      <c r="J515" s="16"/>
    </row>
    <row r="516" spans="10:10">
      <c r="J516" s="16"/>
    </row>
    <row r="517" spans="10:10">
      <c r="J517" s="16"/>
    </row>
    <row r="518" spans="10:10">
      <c r="J518" s="16"/>
    </row>
    <row r="519" spans="10:10">
      <c r="J519" s="16"/>
    </row>
    <row r="520" spans="10:10">
      <c r="J520" s="16"/>
    </row>
    <row r="521" spans="10:10">
      <c r="J521" s="16"/>
    </row>
    <row r="522" spans="10:10">
      <c r="J522" s="16"/>
    </row>
    <row r="523" spans="10:10">
      <c r="J523" s="16"/>
    </row>
    <row r="524" spans="10:10">
      <c r="J524" s="16"/>
    </row>
    <row r="525" spans="10:10">
      <c r="J525" s="16"/>
    </row>
    <row r="526" spans="10:10">
      <c r="J526" s="16"/>
    </row>
    <row r="527" spans="10:10">
      <c r="J527" s="16"/>
    </row>
    <row r="528" spans="10:10">
      <c r="J528" s="16"/>
    </row>
    <row r="529" spans="10:10">
      <c r="J529" s="16"/>
    </row>
    <row r="530" spans="10:10">
      <c r="J530" s="16"/>
    </row>
    <row r="531" spans="10:10">
      <c r="J531" s="16"/>
    </row>
    <row r="532" spans="10:10">
      <c r="J532" s="16"/>
    </row>
    <row r="533" spans="10:10">
      <c r="J533" s="16"/>
    </row>
    <row r="534" spans="10:10">
      <c r="J534" s="16"/>
    </row>
    <row r="535" spans="10:10">
      <c r="J535" s="16"/>
    </row>
    <row r="536" spans="10:10">
      <c r="J536" s="16"/>
    </row>
    <row r="537" spans="10:10">
      <c r="J537" s="16"/>
    </row>
    <row r="538" spans="10:10">
      <c r="J538" s="16"/>
    </row>
    <row r="539" spans="10:10">
      <c r="J539" s="16"/>
    </row>
    <row r="540" spans="10:10">
      <c r="J540" s="16"/>
    </row>
    <row r="541" spans="10:10">
      <c r="J541" s="16"/>
    </row>
    <row r="542" spans="10:10">
      <c r="J542" s="16"/>
    </row>
    <row r="543" spans="10:10">
      <c r="J543" s="16"/>
    </row>
  </sheetData>
  <conditionalFormatting sqref="R5:R504">
    <cfRule type="iconSet" priority="1">
      <iconSet iconSet="3Arrows">
        <cfvo type="percent" val="0"/>
        <cfvo type="num" val="0"/>
        <cfvo type="num" val="500" gte="0"/>
      </iconSet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7BF5-8DB0-FC47-A1EA-1BDDB38C632B}">
  <dimension ref="B3:N28"/>
  <sheetViews>
    <sheetView zoomScale="105" workbookViewId="0">
      <selection activeCell="I36" sqref="I36"/>
    </sheetView>
  </sheetViews>
  <sheetFormatPr defaultColWidth="10.875" defaultRowHeight="15"/>
  <cols>
    <col min="1" max="16384" width="10.875" style="1"/>
  </cols>
  <sheetData>
    <row r="3" spans="2:14">
      <c r="N3" s="23" t="s">
        <v>42</v>
      </c>
    </row>
    <row r="4" spans="2:14">
      <c r="B4" s="1" t="s">
        <v>52</v>
      </c>
      <c r="C4" s="1" t="s">
        <v>53</v>
      </c>
      <c r="N4" s="23" t="s">
        <v>43</v>
      </c>
    </row>
    <row r="5" spans="2:14">
      <c r="E5" s="1" t="s">
        <v>54</v>
      </c>
      <c r="N5" s="23" t="s">
        <v>44</v>
      </c>
    </row>
    <row r="6" spans="2:14">
      <c r="D6" s="26"/>
      <c r="E6" s="26">
        <v>0.25</v>
      </c>
      <c r="F6" s="26">
        <v>0.5</v>
      </c>
      <c r="G6" s="26">
        <v>0.75</v>
      </c>
      <c r="N6" s="23" t="s">
        <v>45</v>
      </c>
    </row>
    <row r="7" spans="2:14">
      <c r="C7" s="66" t="s">
        <v>55</v>
      </c>
      <c r="D7" s="27">
        <v>5</v>
      </c>
      <c r="E7" s="25">
        <f>'3'!D19</f>
        <v>246.31578947368422</v>
      </c>
      <c r="F7" s="25">
        <f>'1and2'!C23</f>
        <v>270</v>
      </c>
      <c r="G7" s="25">
        <f>'3'!F19</f>
        <v>304.61538461538464</v>
      </c>
      <c r="N7" s="23" t="s">
        <v>47</v>
      </c>
    </row>
    <row r="8" spans="2:14">
      <c r="C8" s="66"/>
      <c r="D8" s="28">
        <v>6</v>
      </c>
      <c r="E8" s="25">
        <f>'3'!D25</f>
        <v>276.52173913043475</v>
      </c>
      <c r="F8" s="25">
        <f>'1and2'!C40</f>
        <v>300</v>
      </c>
      <c r="G8" s="25">
        <f>'3'!F25</f>
        <v>331.76470588235293</v>
      </c>
      <c r="N8" s="23" t="s">
        <v>48</v>
      </c>
    </row>
    <row r="9" spans="2:14">
      <c r="N9" s="23" t="s">
        <v>46</v>
      </c>
    </row>
    <row r="10" spans="2:14">
      <c r="C10" s="1" t="s">
        <v>56</v>
      </c>
    </row>
    <row r="12" spans="2:14">
      <c r="D12" s="1" t="s">
        <v>57</v>
      </c>
      <c r="E12" s="1" t="s">
        <v>58</v>
      </c>
      <c r="G12" s="1" t="s">
        <v>62</v>
      </c>
    </row>
    <row r="13" spans="2:14">
      <c r="D13" s="1" t="s">
        <v>59</v>
      </c>
      <c r="E13" s="29">
        <v>0.05</v>
      </c>
      <c r="G13" s="1" t="s">
        <v>63</v>
      </c>
    </row>
    <row r="14" spans="2:14">
      <c r="D14" s="1" t="s">
        <v>60</v>
      </c>
      <c r="E14" s="29">
        <v>0.03</v>
      </c>
      <c r="G14" s="1" t="s">
        <v>63</v>
      </c>
    </row>
    <row r="15" spans="2:14">
      <c r="D15" s="1" t="s">
        <v>61</v>
      </c>
      <c r="E15" s="29">
        <v>7.0000000000000007E-2</v>
      </c>
      <c r="G15" s="1" t="s">
        <v>63</v>
      </c>
    </row>
    <row r="17" spans="3:14">
      <c r="C17" s="1" t="s">
        <v>64</v>
      </c>
    </row>
    <row r="18" spans="3:14">
      <c r="C18" s="1" t="s">
        <v>206</v>
      </c>
      <c r="H18" s="1">
        <f>40000*0.05</f>
        <v>2000</v>
      </c>
      <c r="I18" s="1" t="s">
        <v>201</v>
      </c>
      <c r="M18" s="1">
        <f>2000/400</f>
        <v>5</v>
      </c>
      <c r="N18" s="1" t="s">
        <v>202</v>
      </c>
    </row>
    <row r="19" spans="3:14">
      <c r="C19" s="1" t="s">
        <v>203</v>
      </c>
      <c r="E19" s="1">
        <f>2+5</f>
        <v>7</v>
      </c>
    </row>
    <row r="20" spans="3:14">
      <c r="C20" s="1" t="s">
        <v>65</v>
      </c>
      <c r="E20" s="1">
        <f>3-0.5*3+0.5</f>
        <v>2</v>
      </c>
    </row>
    <row r="21" spans="3:14">
      <c r="C21" s="1" t="s">
        <v>66</v>
      </c>
      <c r="E21" s="1">
        <f>E19/(E20+E19)</f>
        <v>0.77777777777777779</v>
      </c>
    </row>
    <row r="22" spans="3:14">
      <c r="C22" s="1" t="s">
        <v>22</v>
      </c>
      <c r="E22" s="1">
        <f>E21*(420-120)+120</f>
        <v>353.33333333333337</v>
      </c>
      <c r="G22" s="1" t="s">
        <v>67</v>
      </c>
    </row>
    <row r="24" spans="3:14">
      <c r="C24" s="1" t="s">
        <v>68</v>
      </c>
      <c r="H24" s="1">
        <f>40000*0.03</f>
        <v>1200</v>
      </c>
      <c r="I24" s="1" t="s">
        <v>204</v>
      </c>
      <c r="M24" s="33">
        <f>1200/380</f>
        <v>3.1578947368421053</v>
      </c>
      <c r="N24" s="1" t="s">
        <v>202</v>
      </c>
    </row>
    <row r="25" spans="3:14">
      <c r="C25" s="1" t="s">
        <v>205</v>
      </c>
      <c r="E25" s="1">
        <f>2+3.2</f>
        <v>5.2</v>
      </c>
    </row>
    <row r="26" spans="3:14">
      <c r="C26" s="1" t="s">
        <v>65</v>
      </c>
      <c r="E26" s="1">
        <f>3-0.5*3+0.5</f>
        <v>2</v>
      </c>
    </row>
    <row r="27" spans="3:14">
      <c r="C27" s="1" t="s">
        <v>66</v>
      </c>
      <c r="E27" s="1">
        <f>E25/(E26+E25)</f>
        <v>0.72222222222222221</v>
      </c>
    </row>
    <row r="28" spans="3:14">
      <c r="C28" s="1" t="s">
        <v>22</v>
      </c>
      <c r="E28" s="1">
        <f>E27*(420-120)+120</f>
        <v>336.66666666666663</v>
      </c>
      <c r="G28" s="1" t="s">
        <v>67</v>
      </c>
    </row>
  </sheetData>
  <mergeCells count="1">
    <mergeCell ref="C7:C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9B64E-1AF6-8E40-B1DD-DBA465B21DE6}">
  <dimension ref="B4:W34"/>
  <sheetViews>
    <sheetView zoomScale="71" zoomScaleNormal="71" workbookViewId="0">
      <selection activeCell="L41" sqref="L41"/>
    </sheetView>
  </sheetViews>
  <sheetFormatPr defaultColWidth="10.875" defaultRowHeight="15"/>
  <cols>
    <col min="1" max="5" width="10.875" style="1"/>
    <col min="6" max="6" width="12.375" style="1" customWidth="1"/>
    <col min="7" max="10" width="10.875" style="1"/>
    <col min="11" max="11" width="18.375" style="1" customWidth="1"/>
    <col min="12" max="19" width="10.875" style="1"/>
    <col min="20" max="20" width="16.125" style="1" bestFit="1" customWidth="1"/>
    <col min="21" max="22" width="14.625" style="1" customWidth="1"/>
    <col min="23" max="16384" width="10.875" style="1"/>
  </cols>
  <sheetData>
    <row r="4" spans="2:23">
      <c r="B4" s="38"/>
      <c r="C4" s="39"/>
      <c r="E4" s="30" t="s">
        <v>74</v>
      </c>
      <c r="F4" s="38"/>
      <c r="H4" s="38"/>
      <c r="K4" s="38"/>
      <c r="L4" s="39"/>
      <c r="M4" s="39"/>
      <c r="S4" s="38"/>
      <c r="T4" s="35" t="s">
        <v>83</v>
      </c>
      <c r="U4" s="35" t="s">
        <v>87</v>
      </c>
      <c r="V4" s="39" t="s">
        <v>88</v>
      </c>
      <c r="W4" s="1" t="s">
        <v>35</v>
      </c>
    </row>
    <row r="5" spans="2:23">
      <c r="B5" s="30" t="s">
        <v>69</v>
      </c>
      <c r="C5" s="35" t="s">
        <v>73</v>
      </c>
      <c r="E5" s="30" t="s">
        <v>75</v>
      </c>
      <c r="F5" s="38"/>
      <c r="G5" s="1" t="s">
        <v>76</v>
      </c>
      <c r="H5" s="38"/>
      <c r="I5" s="1" t="s">
        <v>77</v>
      </c>
      <c r="K5" s="38"/>
      <c r="L5" s="35" t="s">
        <v>79</v>
      </c>
      <c r="M5" s="35" t="s">
        <v>81</v>
      </c>
      <c r="N5" s="67" t="s">
        <v>82</v>
      </c>
      <c r="O5" s="66"/>
      <c r="P5" s="66"/>
      <c r="Q5" s="66"/>
      <c r="R5" s="66"/>
      <c r="S5" s="68"/>
      <c r="T5" s="35"/>
      <c r="U5" s="35"/>
      <c r="V5" s="39"/>
    </row>
    <row r="6" spans="2:23">
      <c r="B6" s="30" t="s">
        <v>70</v>
      </c>
      <c r="C6" s="36">
        <v>3</v>
      </c>
      <c r="E6" s="30">
        <f>'1and2'!C23</f>
        <v>270</v>
      </c>
      <c r="F6" s="38"/>
      <c r="G6" s="1">
        <f>'1and2'!C40</f>
        <v>300</v>
      </c>
      <c r="H6" s="38"/>
      <c r="I6" s="1" t="s">
        <v>78</v>
      </c>
      <c r="K6" s="38"/>
      <c r="L6" s="35" t="s">
        <v>80</v>
      </c>
      <c r="M6" s="36">
        <f>(199*3+G25)*-1</f>
        <v>-617</v>
      </c>
      <c r="N6" s="41"/>
      <c r="S6" s="42">
        <f>(199^2-120^2)/(2*300)+((420-199)*199)/300</f>
        <v>188.59833333333333</v>
      </c>
      <c r="T6" s="40">
        <f>199-S6</f>
        <v>10.401666666666671</v>
      </c>
      <c r="U6" s="37">
        <f>T6*$G$23*C6</f>
        <v>15.602500000000006</v>
      </c>
      <c r="V6" s="43">
        <f>T6*$G$24*-1</f>
        <v>-5.2008333333333354</v>
      </c>
      <c r="W6" s="2">
        <f>S6*$G$22+V6+U6+M6</f>
        <v>336.39333333333332</v>
      </c>
    </row>
    <row r="7" spans="2:23">
      <c r="B7" s="30"/>
      <c r="C7" s="36"/>
      <c r="E7" s="30"/>
      <c r="F7" s="38"/>
      <c r="H7" s="38"/>
      <c r="K7" s="38"/>
      <c r="L7" s="35"/>
      <c r="M7" s="36"/>
      <c r="N7" s="41"/>
      <c r="S7" s="42"/>
      <c r="T7" s="40"/>
      <c r="U7" s="35"/>
      <c r="V7" s="39"/>
      <c r="W7" s="2"/>
    </row>
    <row r="8" spans="2:23">
      <c r="B8" s="30" t="s">
        <v>71</v>
      </c>
      <c r="C8" s="37">
        <v>2.85</v>
      </c>
      <c r="E8" s="34">
        <f>F34</f>
        <v>278.28220858895702</v>
      </c>
      <c r="F8" s="38"/>
      <c r="H8" s="38"/>
      <c r="I8" s="1" t="s">
        <v>85</v>
      </c>
      <c r="K8" s="38"/>
      <c r="L8" s="40" t="str">
        <f>TEXT(E8,"0.00") &amp; "  units"</f>
        <v>278.28  units</v>
      </c>
      <c r="M8" s="36">
        <f>(E8*C8+20)*-1</f>
        <v>-813.10429447852755</v>
      </c>
      <c r="N8" s="41"/>
      <c r="S8" s="42">
        <f>(278.28^2-120^2)/(2*300)+((420-278.28)*278.28)/300</f>
        <v>236.52573600000002</v>
      </c>
      <c r="T8" s="40">
        <f>278-S8</f>
        <v>41.474263999999977</v>
      </c>
      <c r="U8" s="37">
        <f>T8*$G$23*C8</f>
        <v>59.100826199999972</v>
      </c>
      <c r="V8" s="43">
        <f>T8*$G$24*-1</f>
        <v>-20.737131999999988</v>
      </c>
      <c r="W8" s="2">
        <f>S8*$G$22+V8+U8+M8</f>
        <v>407.88807972147254</v>
      </c>
    </row>
    <row r="9" spans="2:23">
      <c r="B9" s="30"/>
      <c r="C9" s="37"/>
      <c r="E9" s="34"/>
      <c r="F9" s="38"/>
      <c r="H9" s="38"/>
      <c r="K9" s="38"/>
      <c r="L9" s="40"/>
      <c r="M9" s="36"/>
      <c r="N9" s="41"/>
      <c r="S9" s="42"/>
      <c r="T9" s="40"/>
      <c r="U9" s="35"/>
      <c r="V9" s="39"/>
      <c r="W9" s="2"/>
    </row>
    <row r="10" spans="2:23">
      <c r="B10" s="30" t="s">
        <v>72</v>
      </c>
      <c r="C10" s="37">
        <v>2.7</v>
      </c>
      <c r="E10" s="34">
        <f>L34</f>
        <v>286.26506024096386</v>
      </c>
      <c r="F10" s="38"/>
      <c r="H10" s="38"/>
      <c r="I10" s="1" t="s">
        <v>86</v>
      </c>
      <c r="K10" s="38"/>
      <c r="L10" s="35">
        <v>400</v>
      </c>
      <c r="M10" s="36">
        <f>(E10*C10+20)*-1</f>
        <v>-792.91566265060248</v>
      </c>
      <c r="N10" s="41"/>
      <c r="S10" s="42">
        <f>(400^2-120^2)/(2*300)+((420-400)*400)/300</f>
        <v>269.33333333333331</v>
      </c>
      <c r="T10" s="40">
        <f>400-S10</f>
        <v>130.66666666666669</v>
      </c>
      <c r="U10" s="37">
        <f>T10*$G$23*C10</f>
        <v>176.40000000000003</v>
      </c>
      <c r="V10" s="43">
        <f>T10*$G$24*-1</f>
        <v>-65.333333333333343</v>
      </c>
      <c r="W10" s="2">
        <f>S10*$G$22+V10+U10+M10</f>
        <v>664.81767068273086</v>
      </c>
    </row>
    <row r="11" spans="2:23">
      <c r="M11" s="30"/>
    </row>
    <row r="17" spans="5:15" ht="18">
      <c r="E17" s="4" t="s">
        <v>0</v>
      </c>
      <c r="F17" s="4"/>
      <c r="G17" s="4"/>
      <c r="H17" s="4"/>
      <c r="I17" s="4"/>
      <c r="K17" s="4" t="s">
        <v>0</v>
      </c>
      <c r="L17" s="4"/>
      <c r="M17" s="4"/>
      <c r="N17" s="4"/>
      <c r="O17" s="4"/>
    </row>
    <row r="18" spans="5:15" ht="18">
      <c r="E18" s="4"/>
      <c r="F18" s="8" t="s">
        <v>1</v>
      </c>
      <c r="G18" s="9">
        <v>120</v>
      </c>
      <c r="H18" s="9">
        <v>420</v>
      </c>
      <c r="I18" s="4"/>
      <c r="K18" s="4"/>
      <c r="L18" s="8" t="s">
        <v>1</v>
      </c>
      <c r="M18" s="9">
        <v>120</v>
      </c>
      <c r="N18" s="9">
        <v>420</v>
      </c>
      <c r="O18" s="4"/>
    </row>
    <row r="19" spans="5:15" ht="18">
      <c r="E19" s="4"/>
      <c r="F19" s="8" t="s">
        <v>2</v>
      </c>
      <c r="G19" s="9">
        <f>AVERAGE(G18:H18)</f>
        <v>270</v>
      </c>
      <c r="H19" s="9"/>
      <c r="I19" s="4"/>
      <c r="K19" s="4"/>
      <c r="L19" s="8" t="s">
        <v>2</v>
      </c>
      <c r="M19" s="9">
        <f>AVERAGE(M18:N18)</f>
        <v>270</v>
      </c>
      <c r="N19" s="9"/>
      <c r="O19" s="4"/>
    </row>
    <row r="20" spans="5:15" ht="18">
      <c r="E20" s="4"/>
      <c r="F20" s="8"/>
      <c r="G20" s="9"/>
      <c r="H20" s="9"/>
      <c r="I20" s="4"/>
      <c r="K20" s="4"/>
      <c r="L20" s="8"/>
      <c r="M20" s="9"/>
      <c r="N20" s="9"/>
      <c r="O20" s="4"/>
    </row>
    <row r="21" spans="5:15" ht="18">
      <c r="E21" s="4"/>
      <c r="F21" s="8" t="s">
        <v>3</v>
      </c>
      <c r="G21" s="11">
        <f>C8</f>
        <v>2.85</v>
      </c>
      <c r="H21" s="9"/>
      <c r="I21" s="4"/>
      <c r="K21" s="4"/>
      <c r="L21" s="8" t="s">
        <v>3</v>
      </c>
      <c r="M21" s="11">
        <f>C10</f>
        <v>2.7</v>
      </c>
      <c r="N21" s="9"/>
      <c r="O21" s="4"/>
    </row>
    <row r="22" spans="5:15" ht="18">
      <c r="E22" s="4"/>
      <c r="F22" s="8" t="s">
        <v>4</v>
      </c>
      <c r="G22" s="10">
        <v>5</v>
      </c>
      <c r="H22" s="9"/>
      <c r="I22" s="4"/>
      <c r="K22" s="4"/>
      <c r="L22" s="8" t="s">
        <v>4</v>
      </c>
      <c r="M22" s="10">
        <v>5</v>
      </c>
      <c r="N22" s="9"/>
      <c r="O22" s="4"/>
    </row>
    <row r="23" spans="5:15" ht="18">
      <c r="E23" s="4"/>
      <c r="F23" s="8" t="s">
        <v>6</v>
      </c>
      <c r="G23" s="9">
        <v>0.5</v>
      </c>
      <c r="H23" s="9" t="s">
        <v>7</v>
      </c>
      <c r="I23" s="4"/>
      <c r="K23" s="4"/>
      <c r="L23" s="8" t="s">
        <v>6</v>
      </c>
      <c r="M23" s="9">
        <v>0.5</v>
      </c>
      <c r="N23" s="9" t="s">
        <v>7</v>
      </c>
      <c r="O23" s="4"/>
    </row>
    <row r="24" spans="5:15" ht="18">
      <c r="E24" s="4"/>
      <c r="F24" s="8" t="s">
        <v>8</v>
      </c>
      <c r="G24" s="11">
        <v>0.5</v>
      </c>
      <c r="H24" s="9" t="s">
        <v>9</v>
      </c>
      <c r="I24" s="4"/>
      <c r="K24" s="4"/>
      <c r="L24" s="8" t="s">
        <v>8</v>
      </c>
      <c r="M24" s="11">
        <v>0.5</v>
      </c>
      <c r="N24" s="9" t="s">
        <v>9</v>
      </c>
      <c r="O24" s="4"/>
    </row>
    <row r="25" spans="5:15" ht="18">
      <c r="E25" s="4"/>
      <c r="F25" s="8" t="s">
        <v>10</v>
      </c>
      <c r="G25" s="10">
        <v>20</v>
      </c>
      <c r="H25" s="9" t="s">
        <v>11</v>
      </c>
      <c r="I25" s="4"/>
      <c r="K25" s="4"/>
      <c r="L25" s="8" t="s">
        <v>10</v>
      </c>
      <c r="M25" s="10">
        <v>20</v>
      </c>
      <c r="N25" s="9" t="s">
        <v>11</v>
      </c>
      <c r="O25" s="4"/>
    </row>
    <row r="26" spans="5:15" ht="18">
      <c r="E26" s="4"/>
      <c r="F26" s="8" t="s">
        <v>12</v>
      </c>
      <c r="G26" s="10">
        <v>40000</v>
      </c>
      <c r="H26" s="4"/>
      <c r="I26" s="4"/>
      <c r="K26" s="4"/>
      <c r="L26" s="8" t="s">
        <v>12</v>
      </c>
      <c r="M26" s="10">
        <v>40000</v>
      </c>
      <c r="N26" s="4"/>
      <c r="O26" s="4"/>
    </row>
    <row r="27" spans="5:15" ht="18">
      <c r="E27" s="4"/>
      <c r="F27" s="4"/>
      <c r="G27" s="4"/>
      <c r="H27" s="4"/>
      <c r="I27" s="4"/>
      <c r="K27" s="4"/>
      <c r="L27" s="4"/>
      <c r="M27" s="4"/>
      <c r="N27" s="4"/>
      <c r="O27" s="4"/>
    </row>
    <row r="28" spans="5:15" ht="18">
      <c r="E28" s="4"/>
      <c r="F28" s="4"/>
      <c r="G28" s="4"/>
      <c r="H28" s="4"/>
      <c r="I28" s="4"/>
      <c r="K28" s="4"/>
      <c r="L28" s="4"/>
      <c r="M28" s="4"/>
      <c r="N28" s="4"/>
      <c r="O28" s="4"/>
    </row>
    <row r="29" spans="5:15" ht="18">
      <c r="E29" s="4" t="s">
        <v>13</v>
      </c>
      <c r="F29" s="4"/>
      <c r="G29" s="4"/>
      <c r="H29" s="4"/>
      <c r="I29" s="4"/>
      <c r="K29" s="4" t="s">
        <v>13</v>
      </c>
      <c r="L29" s="4"/>
      <c r="M29" s="4"/>
      <c r="N29" s="4"/>
      <c r="O29" s="4"/>
    </row>
    <row r="30" spans="5:15" ht="18">
      <c r="E30" s="8" t="s">
        <v>14</v>
      </c>
      <c r="F30" s="4" t="s">
        <v>84</v>
      </c>
      <c r="G30" s="5">
        <f>G21-0.5*G21+0.5</f>
        <v>1.925</v>
      </c>
      <c r="H30" s="4"/>
      <c r="I30" s="4"/>
      <c r="K30" s="8" t="s">
        <v>14</v>
      </c>
      <c r="L30" s="4" t="s">
        <v>84</v>
      </c>
      <c r="M30" s="5">
        <f>M21-0.5*M21+0.5</f>
        <v>1.85</v>
      </c>
      <c r="N30" s="4"/>
      <c r="O30" s="4"/>
    </row>
    <row r="31" spans="5:15" ht="18">
      <c r="E31" s="8" t="s">
        <v>16</v>
      </c>
      <c r="F31" s="6" t="s">
        <v>17</v>
      </c>
      <c r="G31" s="5">
        <f>5-G21</f>
        <v>2.15</v>
      </c>
      <c r="H31" s="4"/>
      <c r="I31" s="4"/>
      <c r="K31" s="8" t="s">
        <v>16</v>
      </c>
      <c r="L31" s="6" t="s">
        <v>17</v>
      </c>
      <c r="M31" s="5">
        <f>5-M21</f>
        <v>2.2999999999999998</v>
      </c>
      <c r="N31" s="4"/>
      <c r="O31" s="4"/>
    </row>
    <row r="32" spans="5:15" ht="18">
      <c r="E32" s="8" t="s">
        <v>18</v>
      </c>
      <c r="F32" s="4" t="s">
        <v>19</v>
      </c>
      <c r="G32" s="12">
        <f>G31/(G31+G30)</f>
        <v>0.52760736196319014</v>
      </c>
      <c r="H32" s="4"/>
      <c r="I32" s="4"/>
      <c r="K32" s="8" t="s">
        <v>18</v>
      </c>
      <c r="L32" s="4" t="s">
        <v>19</v>
      </c>
      <c r="M32" s="12">
        <f>M31/(M31+M30)</f>
        <v>0.55421686746987942</v>
      </c>
      <c r="N32" s="4"/>
      <c r="O32" s="4"/>
    </row>
    <row r="33" spans="5:15" ht="18">
      <c r="E33" s="4"/>
      <c r="F33" s="4"/>
      <c r="G33" s="4"/>
      <c r="H33" s="4"/>
      <c r="I33" s="4"/>
      <c r="K33" s="4"/>
      <c r="L33" s="4"/>
      <c r="M33" s="4"/>
      <c r="N33" s="4"/>
      <c r="O33" s="4"/>
    </row>
    <row r="34" spans="5:15" ht="21">
      <c r="E34" s="4" t="s">
        <v>49</v>
      </c>
      <c r="F34" s="31">
        <f>G32*(420-120)+120</f>
        <v>278.28220858895702</v>
      </c>
      <c r="G34" s="4"/>
      <c r="H34" s="4"/>
      <c r="I34" s="4"/>
      <c r="K34" s="4" t="s">
        <v>49</v>
      </c>
      <c r="L34" s="31">
        <f>M32*(420-120)+120</f>
        <v>286.26506024096386</v>
      </c>
      <c r="M34" s="4"/>
      <c r="N34" s="4"/>
      <c r="O34" s="4"/>
    </row>
  </sheetData>
  <mergeCells count="1">
    <mergeCell ref="N5:S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A357-D10B-E141-8542-B3D720956EF1}">
  <dimension ref="A1:R82"/>
  <sheetViews>
    <sheetView topLeftCell="A64" zoomScale="131" workbookViewId="0">
      <selection activeCell="C75" sqref="C75"/>
    </sheetView>
  </sheetViews>
  <sheetFormatPr defaultColWidth="10.875" defaultRowHeight="15"/>
  <cols>
    <col min="1" max="1" width="10.875" style="46"/>
    <col min="2" max="3" width="10.875" style="1"/>
    <col min="4" max="4" width="13.625" style="1" customWidth="1"/>
    <col min="5" max="6" width="10.875" style="1"/>
    <col min="7" max="7" width="14" style="1" customWidth="1"/>
    <col min="8" max="8" width="24.375" style="1" customWidth="1"/>
    <col min="9" max="9" width="17.5" style="1" customWidth="1"/>
    <col min="10" max="10" width="19.375" style="1" customWidth="1"/>
    <col min="11" max="16" width="10.875" style="1"/>
    <col min="17" max="17" width="16.375" style="1" customWidth="1"/>
    <col min="18" max="1999" width="10.875" style="1"/>
    <col min="2000" max="2000" width="2.375" style="1" customWidth="1"/>
    <col min="2001" max="16384" width="10.875" style="1"/>
  </cols>
  <sheetData>
    <row r="1" spans="1:13">
      <c r="E1" s="1" t="s">
        <v>98</v>
      </c>
      <c r="F1" s="1">
        <v>0.5</v>
      </c>
      <c r="G1" s="1" t="s">
        <v>100</v>
      </c>
    </row>
    <row r="2" spans="1:13">
      <c r="E2" s="1" t="s">
        <v>99</v>
      </c>
      <c r="F2" s="45">
        <v>0.5</v>
      </c>
    </row>
    <row r="3" spans="1:13">
      <c r="E3" s="1" t="s">
        <v>97</v>
      </c>
    </row>
    <row r="6" spans="1:13" ht="19.5">
      <c r="G6" s="46" t="s">
        <v>101</v>
      </c>
      <c r="H6" s="3">
        <v>3</v>
      </c>
    </row>
    <row r="7" spans="1:13" ht="19.5">
      <c r="G7" s="46" t="s">
        <v>104</v>
      </c>
      <c r="H7" s="3">
        <v>3.6</v>
      </c>
    </row>
    <row r="8" spans="1:13">
      <c r="G8" s="46" t="s">
        <v>102</v>
      </c>
      <c r="H8" s="2">
        <v>20</v>
      </c>
      <c r="I8" s="1" t="s">
        <v>103</v>
      </c>
    </row>
    <row r="9" spans="1:13">
      <c r="G9" s="46" t="s">
        <v>109</v>
      </c>
      <c r="H9" s="2">
        <v>5</v>
      </c>
      <c r="I9" s="1" t="s">
        <v>110</v>
      </c>
    </row>
    <row r="10" spans="1:13">
      <c r="A10" s="46" t="s">
        <v>105</v>
      </c>
      <c r="D10" s="1" t="s">
        <v>147</v>
      </c>
      <c r="G10" s="46"/>
      <c r="H10" s="2"/>
    </row>
    <row r="11" spans="1:13">
      <c r="F11" s="1" t="s">
        <v>158</v>
      </c>
      <c r="G11" s="46" t="s">
        <v>150</v>
      </c>
      <c r="H11" s="46" t="s">
        <v>159</v>
      </c>
      <c r="I11" s="1" t="s">
        <v>160</v>
      </c>
      <c r="K11" s="30" t="s">
        <v>154</v>
      </c>
      <c r="M11" s="1" t="s">
        <v>158</v>
      </c>
    </row>
    <row r="12" spans="1:13">
      <c r="F12" s="1" t="s">
        <v>162</v>
      </c>
      <c r="G12" s="46" t="s">
        <v>163</v>
      </c>
      <c r="H12" s="30" t="s">
        <v>164</v>
      </c>
      <c r="I12" s="30" t="s">
        <v>165</v>
      </c>
      <c r="K12" s="30" t="s">
        <v>166</v>
      </c>
      <c r="M12" s="1" t="s">
        <v>167</v>
      </c>
    </row>
    <row r="13" spans="1:13">
      <c r="C13" s="1" t="s">
        <v>169</v>
      </c>
      <c r="D13" s="2" t="s">
        <v>148</v>
      </c>
      <c r="F13" s="30" t="s">
        <v>149</v>
      </c>
      <c r="G13" s="30" t="s">
        <v>151</v>
      </c>
      <c r="H13" s="30" t="s">
        <v>152</v>
      </c>
      <c r="I13" s="30" t="s">
        <v>153</v>
      </c>
      <c r="J13" s="30"/>
      <c r="K13" s="30" t="s">
        <v>155</v>
      </c>
      <c r="M13" s="1" t="s">
        <v>161</v>
      </c>
    </row>
    <row r="14" spans="1:13">
      <c r="C14" s="1" t="s">
        <v>169</v>
      </c>
      <c r="D14" s="2" t="s">
        <v>156</v>
      </c>
      <c r="F14" s="30" t="s">
        <v>149</v>
      </c>
      <c r="G14" s="30" t="s">
        <v>151</v>
      </c>
      <c r="H14" s="30" t="s">
        <v>157</v>
      </c>
      <c r="I14" s="30" t="s">
        <v>153</v>
      </c>
      <c r="J14" s="30"/>
      <c r="K14" s="30" t="s">
        <v>155</v>
      </c>
      <c r="M14" s="1" t="s">
        <v>168</v>
      </c>
    </row>
    <row r="15" spans="1:13">
      <c r="C15" s="1" t="s">
        <v>170</v>
      </c>
      <c r="D15" s="2" t="s">
        <v>148</v>
      </c>
      <c r="F15" s="30" t="s">
        <v>149</v>
      </c>
      <c r="G15" s="30" t="s">
        <v>171</v>
      </c>
      <c r="H15" s="30" t="s">
        <v>172</v>
      </c>
      <c r="I15" s="30" t="s">
        <v>173</v>
      </c>
      <c r="J15" s="30"/>
      <c r="K15" s="30">
        <v>20</v>
      </c>
      <c r="M15" s="1" t="s">
        <v>174</v>
      </c>
    </row>
    <row r="16" spans="1:13">
      <c r="C16" s="1" t="s">
        <v>170</v>
      </c>
      <c r="D16" s="2" t="s">
        <v>175</v>
      </c>
      <c r="F16" s="30" t="s">
        <v>176</v>
      </c>
      <c r="G16" s="30" t="s">
        <v>171</v>
      </c>
      <c r="H16" s="30">
        <v>0</v>
      </c>
      <c r="I16" s="30">
        <v>0</v>
      </c>
      <c r="J16" s="30"/>
      <c r="K16" s="30">
        <v>20</v>
      </c>
      <c r="M16" s="1" t="s">
        <v>177</v>
      </c>
    </row>
    <row r="17" spans="1:11">
      <c r="D17" s="2"/>
      <c r="F17" s="30"/>
      <c r="G17" s="30"/>
      <c r="H17" s="30"/>
      <c r="I17" s="30"/>
      <c r="J17" s="30"/>
      <c r="K17" s="30"/>
    </row>
    <row r="18" spans="1:11">
      <c r="A18" s="46" t="s">
        <v>178</v>
      </c>
      <c r="D18" s="1" t="s">
        <v>116</v>
      </c>
    </row>
    <row r="19" spans="1:11">
      <c r="D19" s="1" t="s">
        <v>106</v>
      </c>
    </row>
    <row r="20" spans="1:11">
      <c r="D20" s="1" t="s">
        <v>107</v>
      </c>
    </row>
    <row r="21" spans="1:11">
      <c r="D21" s="1" t="s">
        <v>108</v>
      </c>
    </row>
    <row r="22" spans="1:11">
      <c r="D22" s="1" t="s">
        <v>114</v>
      </c>
    </row>
    <row r="23" spans="1:11" ht="19.5">
      <c r="F23" s="46" t="s">
        <v>111</v>
      </c>
      <c r="G23" s="47">
        <f>3-0.5*3+0.5</f>
        <v>2</v>
      </c>
    </row>
    <row r="24" spans="1:11" ht="19.5">
      <c r="F24" s="46" t="s">
        <v>112</v>
      </c>
      <c r="G24" s="47">
        <f>5-3</f>
        <v>2</v>
      </c>
    </row>
    <row r="25" spans="1:11" ht="19.5">
      <c r="F25" s="46" t="s">
        <v>113</v>
      </c>
      <c r="G25" s="47">
        <f>G23/(G23+G24)</f>
        <v>0.5</v>
      </c>
    </row>
    <row r="26" spans="1:11">
      <c r="G26" s="47">
        <f>G25*(420-240)+240</f>
        <v>330</v>
      </c>
    </row>
    <row r="28" spans="1:11">
      <c r="D28" s="1" t="s">
        <v>115</v>
      </c>
    </row>
    <row r="29" spans="1:11" ht="19.5">
      <c r="F29" s="46" t="s">
        <v>111</v>
      </c>
      <c r="G29" s="47">
        <f>3-0.5*3+0.5</f>
        <v>2</v>
      </c>
    </row>
    <row r="30" spans="1:11" ht="19.5">
      <c r="F30" s="46" t="s">
        <v>112</v>
      </c>
      <c r="G30" s="47">
        <f>5-3</f>
        <v>2</v>
      </c>
    </row>
    <row r="31" spans="1:11" ht="19.5">
      <c r="F31" s="46" t="s">
        <v>113</v>
      </c>
      <c r="G31" s="47">
        <f>G29/(G29+G30)</f>
        <v>0.5</v>
      </c>
    </row>
    <row r="32" spans="1:11">
      <c r="G32" s="47">
        <f>G31*(260-120)+120</f>
        <v>190</v>
      </c>
    </row>
    <row r="34" spans="3:7" ht="19.5">
      <c r="D34" s="1" t="s">
        <v>120</v>
      </c>
    </row>
    <row r="35" spans="3:7">
      <c r="D35" s="1" t="s">
        <v>117</v>
      </c>
    </row>
    <row r="36" spans="3:7" ht="19.5">
      <c r="D36" s="1" t="s">
        <v>121</v>
      </c>
      <c r="G36" s="1" t="s">
        <v>122</v>
      </c>
    </row>
    <row r="37" spans="3:7" ht="19.5">
      <c r="F37" s="46" t="s">
        <v>118</v>
      </c>
      <c r="G37" s="47">
        <f>3.6-0.5*3.6+0.5</f>
        <v>2.2999999999999998</v>
      </c>
    </row>
    <row r="38" spans="3:7" ht="19.5">
      <c r="F38" s="46" t="s">
        <v>119</v>
      </c>
      <c r="G38" s="47">
        <f>5-3.6</f>
        <v>1.4</v>
      </c>
    </row>
    <row r="39" spans="3:7" ht="19.5">
      <c r="F39" s="46" t="s">
        <v>113</v>
      </c>
      <c r="G39" s="48">
        <f>G37/(G37+G38)</f>
        <v>0.6216216216216216</v>
      </c>
    </row>
    <row r="40" spans="3:7">
      <c r="G40" s="49">
        <f>G39*(420-240)+240</f>
        <v>351.89189189189187</v>
      </c>
    </row>
    <row r="42" spans="3:7" ht="19.5">
      <c r="D42" s="1" t="s">
        <v>123</v>
      </c>
    </row>
    <row r="43" spans="3:7" ht="19.5">
      <c r="F43" s="46" t="s">
        <v>118</v>
      </c>
      <c r="G43" s="47">
        <f>3.6-0.5*3.6+0.5</f>
        <v>2.2999999999999998</v>
      </c>
    </row>
    <row r="44" spans="3:7" ht="19.5">
      <c r="F44" s="46" t="s">
        <v>119</v>
      </c>
      <c r="G44" s="47">
        <f>5-3.6</f>
        <v>1.4</v>
      </c>
    </row>
    <row r="45" spans="3:7" ht="19.5">
      <c r="F45" s="46" t="s">
        <v>113</v>
      </c>
      <c r="G45" s="48">
        <f>G43/(G43+G44)</f>
        <v>0.6216216216216216</v>
      </c>
    </row>
    <row r="46" spans="3:7">
      <c r="G46" s="49">
        <f>G45*(260-120)+120</f>
        <v>207.02702702702703</v>
      </c>
    </row>
    <row r="48" spans="3:7" ht="19.5">
      <c r="C48" s="1" t="s">
        <v>124</v>
      </c>
    </row>
    <row r="49" spans="1:18">
      <c r="D49" s="1" t="s">
        <v>125</v>
      </c>
    </row>
    <row r="51" spans="1:18" ht="15.75">
      <c r="A51" s="46" t="s">
        <v>179</v>
      </c>
      <c r="C51" s="50" t="s">
        <v>129</v>
      </c>
      <c r="F51" s="69" t="s">
        <v>128</v>
      </c>
      <c r="G51" s="69"/>
      <c r="H51" s="69"/>
      <c r="I51" s="69"/>
      <c r="J51" s="69"/>
      <c r="K51" s="69"/>
      <c r="L51" s="69"/>
      <c r="M51" s="69"/>
      <c r="N51" s="69"/>
      <c r="O51" s="69"/>
      <c r="P51" s="69"/>
    </row>
    <row r="52" spans="1:18">
      <c r="E52" s="66" t="s">
        <v>126</v>
      </c>
      <c r="F52" s="66"/>
      <c r="G52" s="66"/>
      <c r="H52" s="66"/>
      <c r="I52" s="66"/>
      <c r="J52" s="68"/>
      <c r="L52" s="66" t="s">
        <v>127</v>
      </c>
      <c r="M52" s="66"/>
      <c r="N52" s="66"/>
      <c r="O52" s="66"/>
      <c r="P52" s="66"/>
      <c r="Q52" s="66"/>
      <c r="R52" s="66"/>
    </row>
    <row r="53" spans="1:18">
      <c r="E53" s="70" t="s">
        <v>139</v>
      </c>
      <c r="F53" s="70"/>
      <c r="G53" s="70"/>
      <c r="H53" s="70"/>
      <c r="I53" s="70"/>
      <c r="J53" s="53" t="s">
        <v>138</v>
      </c>
      <c r="K53" s="71" t="s">
        <v>139</v>
      </c>
      <c r="L53" s="70"/>
      <c r="M53" s="70"/>
      <c r="N53" s="70"/>
      <c r="O53" s="70"/>
      <c r="P53" s="70"/>
      <c r="Q53" s="52" t="s">
        <v>138</v>
      </c>
      <c r="R53" s="51"/>
    </row>
    <row r="54" spans="1:18">
      <c r="C54" s="46" t="s">
        <v>140</v>
      </c>
      <c r="E54" s="30"/>
      <c r="F54" s="30"/>
      <c r="G54" s="30"/>
      <c r="H54" s="30"/>
      <c r="I54" s="49">
        <f>(352^2-240^2)/(2*180)+((420-352)*352)/180</f>
        <v>317.15555555555557</v>
      </c>
      <c r="J54" s="54">
        <f>352-I54</f>
        <v>34.844444444444434</v>
      </c>
      <c r="K54" s="30"/>
      <c r="L54" s="47" t="s">
        <v>143</v>
      </c>
      <c r="M54" s="30"/>
      <c r="N54" s="30"/>
      <c r="O54" s="58" t="s">
        <v>141</v>
      </c>
      <c r="P54" s="47">
        <f>(120+260)/2</f>
        <v>190</v>
      </c>
      <c r="Q54" s="56">
        <f>352-P54</f>
        <v>162</v>
      </c>
    </row>
    <row r="55" spans="1:18" ht="29.1" customHeight="1">
      <c r="C55" s="46" t="s">
        <v>130</v>
      </c>
      <c r="I55" s="49">
        <f>(330^2-240^2)/(2*180)+((420-330)*330)/180</f>
        <v>307.5</v>
      </c>
      <c r="J55" s="54">
        <f>330-I55</f>
        <v>22.5</v>
      </c>
      <c r="L55" s="1" t="s">
        <v>143</v>
      </c>
      <c r="O55" s="58" t="s">
        <v>141</v>
      </c>
      <c r="P55" s="47">
        <f>(120+260)/2</f>
        <v>190</v>
      </c>
      <c r="Q55" s="56">
        <f>330-P55</f>
        <v>140</v>
      </c>
    </row>
    <row r="56" spans="1:18" ht="29.1" customHeight="1">
      <c r="C56" s="46" t="s">
        <v>131</v>
      </c>
      <c r="E56" s="1" t="s">
        <v>142</v>
      </c>
      <c r="H56" s="58" t="s">
        <v>141</v>
      </c>
      <c r="I56" s="47">
        <v>190</v>
      </c>
      <c r="J56" s="55">
        <v>0</v>
      </c>
      <c r="P56" s="49">
        <f>(190^2-120^2)/(2*140)+((260-190)*190)/140</f>
        <v>172.5</v>
      </c>
      <c r="Q56" s="57">
        <f>190-P56</f>
        <v>17.5</v>
      </c>
    </row>
    <row r="57" spans="1:18" ht="29.1" customHeight="1">
      <c r="C57" s="46" t="s">
        <v>132</v>
      </c>
      <c r="E57" s="1" t="s">
        <v>142</v>
      </c>
      <c r="H57" s="58" t="s">
        <v>141</v>
      </c>
      <c r="I57" s="47">
        <v>207</v>
      </c>
      <c r="J57" s="55">
        <v>0</v>
      </c>
      <c r="P57" s="49">
        <f>(207^2-120^2)/(2*140)+((260-207)*207)/140</f>
        <v>179.96785714285716</v>
      </c>
      <c r="Q57" s="57">
        <f>207-P57</f>
        <v>27.032142857142844</v>
      </c>
    </row>
    <row r="58" spans="1:18" ht="29.1" customHeight="1">
      <c r="C58" s="46" t="s">
        <v>133</v>
      </c>
      <c r="I58" s="49">
        <f>(352^2-240^2)/(2*180)+((420-352)*352)/180</f>
        <v>317.15555555555557</v>
      </c>
      <c r="J58" s="54">
        <f>352-I58</f>
        <v>34.844444444444434</v>
      </c>
      <c r="L58" s="1" t="s">
        <v>143</v>
      </c>
      <c r="O58" s="58" t="s">
        <v>141</v>
      </c>
      <c r="P58" s="47">
        <f>(120+260)/2</f>
        <v>190</v>
      </c>
      <c r="Q58" s="56">
        <f>352-P58</f>
        <v>162</v>
      </c>
    </row>
    <row r="59" spans="1:18" ht="29.1" customHeight="1">
      <c r="C59" s="46" t="s">
        <v>134</v>
      </c>
      <c r="I59" s="49">
        <f>(330^2-240^2)/(2*180)+((420-330)*330)/180</f>
        <v>307.5</v>
      </c>
      <c r="J59" s="54">
        <f>330-I59</f>
        <v>22.5</v>
      </c>
      <c r="L59" s="1" t="s">
        <v>143</v>
      </c>
      <c r="O59" s="58" t="s">
        <v>141</v>
      </c>
      <c r="P59" s="47">
        <f>(120+260)/2</f>
        <v>190</v>
      </c>
      <c r="Q59" s="56">
        <f>330-P59</f>
        <v>140</v>
      </c>
    </row>
    <row r="60" spans="1:18" ht="29.1" customHeight="1">
      <c r="C60" s="46" t="s">
        <v>180</v>
      </c>
      <c r="E60" s="1" t="s">
        <v>142</v>
      </c>
      <c r="H60" s="58" t="s">
        <v>141</v>
      </c>
      <c r="I60" s="47">
        <v>207</v>
      </c>
      <c r="J60" s="54">
        <v>0</v>
      </c>
      <c r="O60" s="58"/>
      <c r="P60" s="49">
        <f>(207^2-120^2)/(2*140)+((260-207)*207)/140</f>
        <v>179.96785714285716</v>
      </c>
      <c r="Q60" s="57">
        <f>207-P60</f>
        <v>27.032142857142844</v>
      </c>
    </row>
    <row r="61" spans="1:18" ht="29.1" customHeight="1">
      <c r="C61" s="46" t="s">
        <v>135</v>
      </c>
      <c r="I61" s="49">
        <f>(352^2-240^2)/(2*180)+((420-352)*352)/180</f>
        <v>317.15555555555557</v>
      </c>
      <c r="J61" s="54">
        <f>352-I61</f>
        <v>34.844444444444434</v>
      </c>
      <c r="L61" s="1" t="s">
        <v>143</v>
      </c>
      <c r="O61" s="58" t="s">
        <v>141</v>
      </c>
      <c r="P61" s="49">
        <f>(120+260)/2</f>
        <v>190</v>
      </c>
      <c r="Q61" s="57">
        <f>352-P61</f>
        <v>162</v>
      </c>
    </row>
    <row r="62" spans="1:18" ht="29.1" customHeight="1">
      <c r="C62" s="46" t="s">
        <v>136</v>
      </c>
      <c r="I62" s="49">
        <f>(330^2-240^2)/(2*180)+((420-330)*330)/180</f>
        <v>307.5</v>
      </c>
      <c r="J62" s="54">
        <f>330-I62</f>
        <v>22.5</v>
      </c>
      <c r="L62" s="1" t="s">
        <v>143</v>
      </c>
      <c r="O62" s="58" t="s">
        <v>141</v>
      </c>
      <c r="P62" s="47">
        <f>(120+260)/2</f>
        <v>190</v>
      </c>
      <c r="Q62" s="56">
        <f>330-P62</f>
        <v>140</v>
      </c>
    </row>
    <row r="63" spans="1:18" ht="29.1" customHeight="1">
      <c r="C63" s="46" t="s">
        <v>137</v>
      </c>
      <c r="I63" s="49">
        <f>(352^2-240^2)/(2*180)+((420-352)*352)/180</f>
        <v>317.15555555555557</v>
      </c>
      <c r="J63" s="54">
        <f>352-I63</f>
        <v>34.844444444444434</v>
      </c>
      <c r="L63" s="1" t="s">
        <v>143</v>
      </c>
      <c r="O63" s="58" t="s">
        <v>141</v>
      </c>
      <c r="P63" s="47">
        <f>(120+260)/2</f>
        <v>190</v>
      </c>
      <c r="Q63" s="56">
        <f>352-P63</f>
        <v>162</v>
      </c>
    </row>
    <row r="66" spans="2:10" ht="15.75">
      <c r="C66" s="50" t="s">
        <v>144</v>
      </c>
    </row>
    <row r="68" spans="2:10" ht="15.75">
      <c r="F68" s="30" t="s">
        <v>126</v>
      </c>
      <c r="H68" s="30" t="str">
        <f>L52</f>
        <v>D⏐low</v>
      </c>
      <c r="J68" s="50" t="s">
        <v>146</v>
      </c>
    </row>
    <row r="69" spans="2:10" ht="15.75">
      <c r="C69" s="46" t="s">
        <v>140</v>
      </c>
      <c r="F69" s="34">
        <f>I54*5+J54*3*0.5-J54*0.5-352*3-20</f>
        <v>544.62222222222226</v>
      </c>
      <c r="H69" s="1">
        <f>P54*5+Q54*3*0.5-Q54*0.5-352*3-20</f>
        <v>36</v>
      </c>
      <c r="J69" s="63">
        <f t="shared" ref="J69:J78" si="0">F69*$F$79+H69*$H$79</f>
        <v>264.88</v>
      </c>
    </row>
    <row r="70" spans="2:10" ht="15.75">
      <c r="C70" s="46" t="s">
        <v>130</v>
      </c>
      <c r="F70" s="30">
        <f>I55*5+J55*3*0.5-J55*0.5-330*3-20</f>
        <v>550</v>
      </c>
      <c r="H70" s="1">
        <f>P55*5+Q55*3*0.5-Q55*0.5-330*3-20</f>
        <v>80</v>
      </c>
      <c r="J70" s="63">
        <f t="shared" si="0"/>
        <v>291.5</v>
      </c>
    </row>
    <row r="71" spans="2:10" ht="15.75">
      <c r="C71" s="46" t="s">
        <v>131</v>
      </c>
      <c r="F71" s="30">
        <f>I56*5+J56*3*0.5-J56*0.5-190*3-20</f>
        <v>360</v>
      </c>
      <c r="H71" s="1">
        <f>P56*5+Q56*3*0.5-Q56*0.5-190*3-20</f>
        <v>290</v>
      </c>
      <c r="J71" s="63">
        <f t="shared" si="0"/>
        <v>321.5</v>
      </c>
    </row>
    <row r="72" spans="2:10" ht="15.75">
      <c r="C72" s="46" t="s">
        <v>132</v>
      </c>
      <c r="F72" s="30">
        <f>I57*5+J57*3*0.5-J57*0.5-207*3-20</f>
        <v>394</v>
      </c>
      <c r="H72" s="32">
        <f>P57*5+Q57*3*0.5-Q57*0.5-207*3-20</f>
        <v>285.87142857142862</v>
      </c>
      <c r="J72" s="63">
        <f t="shared" si="0"/>
        <v>334.52928571428578</v>
      </c>
    </row>
    <row r="73" spans="2:10" ht="15.75">
      <c r="C73" s="46" t="s">
        <v>133</v>
      </c>
      <c r="F73" s="34">
        <f>I58*5+J58*3.6*0.5-J58*0.5-190*3-(352-190)*3.6-20*2</f>
        <v>437.87555555555559</v>
      </c>
      <c r="H73" s="32">
        <f>P58*5+Q58*3*0.5-Q58*0.5-190*3-(352-190)*3.6-20*2</f>
        <v>-81.200000000000045</v>
      </c>
      <c r="J73" s="63">
        <f t="shared" si="0"/>
        <v>152.38399999999999</v>
      </c>
    </row>
    <row r="74" spans="2:10" ht="15.75">
      <c r="C74" s="46" t="s">
        <v>134</v>
      </c>
      <c r="F74" s="34">
        <f>I59*5+J59*3.6*0.5-J59*0.5-190*3-(330-190)*3.6-20*2</f>
        <v>452.75</v>
      </c>
      <c r="H74" s="32">
        <f>P59*5+Q59*3*0.5-Q59*0.5-190*3-(330-190)*3.6-20*2</f>
        <v>-24</v>
      </c>
      <c r="J74" s="63">
        <f t="shared" si="0"/>
        <v>190.53750000000002</v>
      </c>
    </row>
    <row r="75" spans="2:10" ht="15.75">
      <c r="C75" s="46" t="s">
        <v>180</v>
      </c>
      <c r="F75" s="34">
        <f>I60*5+J60*3.6*0.5-J60*0.5-190*3-(207-190)*3.6-20*2</f>
        <v>363.8</v>
      </c>
      <c r="H75" s="32">
        <f>P60*5+(Q60-207+190)*3*0.5+(207-190)*3.6*0.5-Q60*0.5-190*3-(207-190)*3.6-20*2</f>
        <v>260.77142857142866</v>
      </c>
      <c r="J75" s="63">
        <f t="shared" si="0"/>
        <v>307.1342857142858</v>
      </c>
    </row>
    <row r="76" spans="2:10" ht="15.75">
      <c r="C76" s="46" t="s">
        <v>135</v>
      </c>
      <c r="F76" s="34">
        <f>I61*5+J61*3.6*0.5-J61*0.5-207*3-(352-207)*3.6-20*2</f>
        <v>448.07555555555564</v>
      </c>
      <c r="H76" s="32">
        <f>P61*5+Q61*3*0.5-Q61*0.5-207*3-(352-207)*3.6-20*2</f>
        <v>-71</v>
      </c>
      <c r="J76" s="63">
        <f t="shared" si="0"/>
        <v>162.58400000000003</v>
      </c>
    </row>
    <row r="77" spans="2:10" ht="15.75">
      <c r="C77" s="46" t="s">
        <v>136</v>
      </c>
      <c r="F77" s="34">
        <f>I62*5+J62*3.6*0.5-J62*0.5-207*3-(330-207)*3.6-20*2</f>
        <v>462.95</v>
      </c>
      <c r="H77" s="32">
        <f>P62*5+Q62*3*0.5-Q62*0.5-207*3-(330-207)*3.6-20*2</f>
        <v>-13.800000000000011</v>
      </c>
      <c r="J77" s="63">
        <f t="shared" si="0"/>
        <v>200.73749999999998</v>
      </c>
    </row>
    <row r="78" spans="2:10" ht="16.5" thickBot="1">
      <c r="B78" s="59"/>
      <c r="C78" s="60" t="s">
        <v>137</v>
      </c>
      <c r="D78" s="59"/>
      <c r="E78" s="59"/>
      <c r="F78" s="61">
        <f>I63*5+(J63-(352-330))*3+(352-330)*3.6*0.5-J63*0.5-330*3-(352-330)*3.6-20*2</f>
        <v>537.28888888888878</v>
      </c>
      <c r="G78" s="59"/>
      <c r="H78" s="62">
        <f>P63*5+Q63*3*0.5-Q63*0.5-330*3-(352-330)*3.6-20*2</f>
        <v>2.7999999999999972</v>
      </c>
      <c r="I78" s="59"/>
      <c r="J78" s="63">
        <f t="shared" si="0"/>
        <v>243.31999999999994</v>
      </c>
    </row>
    <row r="79" spans="2:10" ht="15.75">
      <c r="B79" s="1" t="s">
        <v>145</v>
      </c>
      <c r="F79" s="50">
        <v>0.45</v>
      </c>
      <c r="G79" s="50"/>
      <c r="H79" s="50">
        <f>1-F79</f>
        <v>0.55000000000000004</v>
      </c>
    </row>
    <row r="81" spans="1:5">
      <c r="A81" s="46" t="s">
        <v>181</v>
      </c>
      <c r="D81" s="1" t="s">
        <v>182</v>
      </c>
      <c r="E81" s="32">
        <f>J75-'1and2'!J30</f>
        <v>-62.865714285714205</v>
      </c>
    </row>
    <row r="82" spans="1:5">
      <c r="D82" s="1" t="s">
        <v>183</v>
      </c>
    </row>
  </sheetData>
  <mergeCells count="5">
    <mergeCell ref="E52:J52"/>
    <mergeCell ref="L52:R52"/>
    <mergeCell ref="F51:P51"/>
    <mergeCell ref="E53:I53"/>
    <mergeCell ref="K53:P53"/>
  </mergeCells>
  <conditionalFormatting sqref="J69:J78">
    <cfRule type="colorScale" priority="1">
      <colorScale>
        <cfvo type="min"/>
        <cfvo type="percentile" val="50"/>
        <cfvo type="max"/>
        <color rgb="FFFF0000"/>
        <color rgb="FFFFC000"/>
        <color rgb="FF00B050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1and2</vt:lpstr>
      <vt:lpstr>3</vt:lpstr>
      <vt:lpstr>4</vt:lpstr>
      <vt:lpstr>5</vt:lpstr>
      <vt:lpstr>6</vt:lpstr>
      <vt:lpstr>7</vt:lpstr>
      <vt:lpstr>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Jose, Dominic</dc:creator>
  <cp:lastModifiedBy>Uday, Adarsh</cp:lastModifiedBy>
  <dcterms:created xsi:type="dcterms:W3CDTF">2025-11-22T18:14:03Z</dcterms:created>
  <dcterms:modified xsi:type="dcterms:W3CDTF">2025-12-05T00:23:28Z</dcterms:modified>
</cp:coreProperties>
</file>